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4c1123bc84a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总览" sheetId="1" r:id="R40ac7cc3da204ee6"/>
    <x:sheet xmlns:r="http://schemas.openxmlformats.org/officeDocument/2006/relationships" name="任务清单" sheetId="2" r:id="R5edb317039a544c2"/>
    <x:sheet xmlns:r="http://schemas.openxmlformats.org/officeDocument/2006/relationships" name="任务详情" sheetId="3" r:id="R82f00c24a4bb4868"/>
    <x:sheet xmlns:r="http://schemas.openxmlformats.org/officeDocument/2006/relationships" name="前置数据" sheetId="4" r:id="R9dcc0ea9176f4e9b"/>
    <x:sheet xmlns:r="http://schemas.openxmlformats.org/officeDocument/2006/relationships" name="用户任务矩阵" sheetId="5" r:id="Rca3199d2cee04a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10">
    <x:font>
      <x:sz val="11"/>
      <x:name val="Carlito"/>
    </x:font>
    <x:font>
      <x:sz val="10"/>
      <x:color rgb="FF24313D"/>
      <x:name val="Arial"/>
    </x:font>
    <x:font>
      <x:b/>
      <x:sz val="16"/>
      <x:color rgb="FF24313D"/>
      <x:name val="Arial"/>
    </x:font>
    <x:font>
      <x:i/>
      <x:sz val="10"/>
      <x:color rgb="FF62707D"/>
      <x:name val="Arial"/>
    </x:font>
    <x:font>
      <x:b/>
      <x:sz val="10"/>
      <x:color rgb="FF62707D"/>
      <x:name val="Arial"/>
    </x:font>
    <x:font>
      <x:b/>
      <x:sz val="15"/>
      <x:color rgb="FF234A67"/>
      <x:name val="Arial"/>
    </x:font>
    <x:font>
      <x:b/>
      <x:sz val="15"/>
      <x:color rgb="FFA86800"/>
      <x:name val="Arial"/>
    </x:font>
    <x:font>
      <x:b/>
      <x:sz val="10"/>
      <x:color rgb="FFFFFFFF"/>
      <x:name val="Arial"/>
    </x:font>
    <x:font>
      <x:b/>
      <x:sz val="11"/>
      <x:color rgb="FF234A67"/>
      <x:name val="Arial"/>
    </x:font>
    <x:font>
      <x:b/>
      <x:sz val="10"/>
      <x:color rgb="FF234A67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rgb="FFE8F1F5"/>
      </x:patternFill>
    </x:fill>
    <x:fill>
      <x:patternFill patternType="solid">
        <x:fgColor rgb="FFFFF3D6"/>
      </x:patternFill>
    </x:fill>
    <x:fill>
      <x:patternFill patternType="solid">
        <x:fgColor rgb="FF2F4858"/>
      </x:patternFill>
    </x:fill>
    <x:fill>
      <x:patternFill patternType="solid">
        <x:fgColor rgb="FFFFF7D6"/>
      </x:patternFill>
    </x:fill>
    <x:fill>
      <x:patternFill patternType="solid">
        <x:fgColor rgb="FFE8F1F5"/>
      </x:patternFill>
    </x:fill>
    <x:fill>
      <x:patternFill patternType="solid">
        <x:fgColor rgb="FF2F4858"/>
      </x:patternFill>
    </x:fill>
    <x:fill>
      <x:patternFill patternType="solid">
        <x:fgColor rgb="FF315F7D"/>
      </x:patternFill>
    </x:fill>
    <x:fill>
      <x:patternFill patternType="solid">
        <x:fgColor rgb="FF447A6A"/>
      </x:patternFill>
    </x:fill>
    <x:fill>
      <x:patternFill patternType="solid">
        <x:fgColor rgb="FF557C72"/>
      </x:patternFill>
    </x:fill>
    <x:fill>
      <x:patternFill patternType="solid">
        <x:fgColor rgb="FF356B70"/>
      </x:patternFill>
    </x:fill>
    <x:fill>
      <x:patternFill patternType="solid">
        <x:fgColor rgb="FF5D6E7A"/>
      </x:patternFill>
    </x:fill>
    <x:fill>
      <x:patternFill patternType="solid">
        <x:fgColor rgb="FF4F6F52"/>
      </x:patternFill>
    </x:fill>
    <x:fill>
      <x:patternFill patternType="solid">
        <x:fgColor rgb="FF3E6B87"/>
      </x:patternFill>
    </x:fill>
    <x:fill>
      <x:patternFill patternType="solid">
        <x:fgColor rgb="FF6A5F7A"/>
      </x:patternFill>
    </x:fill>
    <x:fill>
      <x:patternFill patternType="solid">
        <x:fgColor rgb="FF7A6651"/>
      </x:patternFill>
    </x:fill>
    <x:fill>
      <x:patternFill patternType="solid">
        <x:fgColor rgb="FFA86800"/>
      </x:patternFill>
    </x:fill>
    <x:fill>
      <x:patternFill patternType="solid">
        <x:fgColor rgb="FF9A4D4D"/>
      </x:patternFill>
    </x:fill>
    <x:fill>
      <x:patternFill patternType="solid">
        <x:fgColor rgb="FFFFF7D6"/>
      </x:patternFill>
    </x:fill>
  </x:fills>
  <x:borders count="15">
    <x:border/>
    <x:border>
      <x:bottom style="thin">
        <x:color rgb="FFCCD4DA"/>
      </x:bottom>
    </x:border>
    <x:border>
      <x:left style="thin">
        <x:color rgb="FFCCD4DA"/>
      </x:left>
      <x:top style="thin">
        <x:color rgb="FFCCD4DA"/>
      </x:top>
    </x:border>
    <x:border>
      <x:right style="thin">
        <x:color rgb="FFCCD4DA"/>
      </x:right>
      <x:top style="thin">
        <x:color rgb="FFCCD4DA"/>
      </x:top>
    </x:border>
    <x:border>
      <x:left style="thin">
        <x:color rgb="FFCCD4DA"/>
      </x:left>
      <x:bottom style="thin">
        <x:color rgb="FFCCD4DA"/>
      </x:bottom>
    </x:border>
    <x:border>
      <x:right style="thin">
        <x:color rgb="FFCCD4DA"/>
      </x:right>
      <x:bottom style="thin">
        <x:color rgb="FFCCD4DA"/>
      </x:bottom>
    </x:border>
    <x:border>
      <x:top style="thin">
        <x:color rgb="FFCCD4DA"/>
      </x:top>
      <x:bottom style="thin">
        <x:color rgb="FFCCD4DA"/>
      </x:bottom>
    </x:border>
    <x:border>
      <x:bottom style="thin">
        <x:color rgb="FF234A67"/>
      </x:bottom>
    </x:border>
    <x:border>
      <x:top style="thin">
        <x:color rgb="FFCCD4DA"/>
      </x:top>
    </x:border>
    <x:border>
      <x:left style="thin">
        <x:color rgb="FFCCD4DA"/>
      </x:left>
      <x:top style="thin">
        <x:color rgb="FFCCD4DA"/>
      </x:top>
      <x:bottom style="thin">
        <x:color rgb="FFCCD4DA"/>
      </x:bottom>
    </x:border>
    <x:border>
      <x:right style="thin">
        <x:color rgb="FFCCD4DA"/>
      </x:right>
      <x:top style="thin">
        <x:color rgb="FFCCD4DA"/>
      </x:top>
      <x:bottom style="thin">
        <x:color rgb="FFCCD4DA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6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5" xfId="0" applyNumberFormat="1" applyFont="1" applyFill="1" applyBorder="1" applyAlignment="1">
      <x:alignment vertical="center"/>
    </x:xf>
    <x:xf numFmtId="200" fontId="5" fillId="2" borderId="4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200" fontId="1" fillId="0" borderId="6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horizontal="center"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center" vertical="top"/>
    </x:xf>
    <x:xf numFmtId="0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horizontal="center" vertical="top"/>
    </x:xf>
    <x:xf numFmtId="0" fontId="1" fillId="6" borderId="0" xfId="0" applyNumberFormat="1" applyFont="1" applyFill="1" applyBorder="1" applyAlignment="1">
      <x:alignment vertical="center"/>
    </x:xf>
    <x:xf numFmtId="0" fontId="1" fillId="6" borderId="9" xfId="0" applyNumberFormat="1" applyFont="1" applyFill="1" applyBorder="1" applyAlignment="1">
      <x:alignment vertical="center"/>
    </x:xf>
    <x:xf numFmtId="0" fontId="1" fillId="6" borderId="10" xfId="0" applyNumberFormat="1" applyFont="1" applyFill="1" applyBorder="1" applyAlignment="1">
      <x:alignment vertical="center"/>
    </x:xf>
    <x:xf numFmtId="0" fontId="9" fillId="6" borderId="9" xfId="0" applyNumberFormat="1" applyFont="1" applyFill="1" applyBorder="1" applyAlignment="1">
      <x:alignment vertical="center"/>
    </x:xf>
    <x:xf numFmtId="0" fontId="9" fillId="6" borderId="1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9" fillId="6" borderId="1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11" xfId="0" applyNumberFormat="1" applyFont="1" applyFill="1" applyBorder="1" applyAlignment="1">
      <x:alignment vertical="center"/>
    </x:xf>
    <x:xf numFmtId="0" fontId="7" fillId="7" borderId="12" xfId="0" applyNumberFormat="1" applyFont="1" applyFill="1" applyBorder="1" applyAlignment="1">
      <x:alignment vertical="center"/>
    </x:xf>
    <x:xf numFmtId="0" fontId="7" fillId="7" borderId="13" xfId="0" applyNumberFormat="1" applyFont="1" applyFill="1" applyBorder="1" applyAlignment="1">
      <x:alignment vertical="center"/>
    </x:xf>
    <x:xf numFmtId="0" fontId="7" fillId="7" borderId="11" xfId="0" applyNumberFormat="1" applyFont="1" applyFill="1" applyBorder="1" applyAlignment="1">
      <x:alignment horizontal="center" vertical="center"/>
    </x:xf>
    <x:xf numFmtId="0" fontId="7" fillId="7" borderId="12" xfId="0" applyNumberFormat="1" applyFont="1" applyFill="1" applyBorder="1" applyAlignment="1">
      <x:alignment horizontal="center" vertical="center"/>
    </x:xf>
    <x:xf numFmtId="0" fontId="7" fillId="7" borderId="13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7" fillId="8" borderId="11" xfId="0" applyNumberFormat="1" applyFont="1" applyFill="1" applyBorder="1" applyAlignment="1">
      <x:alignment vertical="center"/>
    </x:xf>
    <x:xf numFmtId="0" fontId="7" fillId="8" borderId="12" xfId="0" applyNumberFormat="1" applyFont="1" applyFill="1" applyBorder="1" applyAlignment="1">
      <x:alignment vertical="center"/>
    </x:xf>
    <x:xf numFmtId="0" fontId="7" fillId="8" borderId="13" xfId="0" applyNumberFormat="1" applyFont="1" applyFill="1" applyBorder="1" applyAlignment="1">
      <x:alignment vertical="center"/>
    </x:xf>
    <x:xf numFmtId="0" fontId="7" fillId="8" borderId="11" xfId="0" applyNumberFormat="1" applyFont="1" applyFill="1" applyBorder="1" applyAlignment="1">
      <x:alignment horizontal="center" vertical="center"/>
    </x:xf>
    <x:xf numFmtId="0" fontId="7" fillId="8" borderId="12" xfId="0" applyNumberFormat="1" applyFont="1" applyFill="1" applyBorder="1" applyAlignment="1">
      <x:alignment horizontal="center" vertical="center"/>
    </x:xf>
    <x:xf numFmtId="0" fontId="7" fillId="8" borderId="13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0" fontId="7" fillId="9" borderId="14" xfId="0" applyNumberFormat="1" applyFont="1" applyFill="1" applyBorder="1" applyAlignment="1">
      <x:alignment vertical="center"/>
    </x:xf>
    <x:xf numFmtId="0" fontId="7" fillId="9" borderId="14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vertical="center"/>
    </x:xf>
    <x:xf numFmtId="0" fontId="7" fillId="10" borderId="0" xfId="0" applyNumberFormat="1" applyFont="1" applyFill="1" applyBorder="1" applyAlignment="1">
      <x:alignment vertical="center"/>
    </x:xf>
    <x:xf numFmtId="0" fontId="7" fillId="10" borderId="14" xfId="0" applyNumberFormat="1" applyFont="1" applyFill="1" applyBorder="1" applyAlignment="1">
      <x:alignment vertical="center"/>
    </x:xf>
    <x:xf numFmtId="0" fontId="7" fillId="10" borderId="14" xfId="0" applyNumberFormat="1" applyFont="1" applyFill="1" applyBorder="1" applyAlignment="1">
      <x:alignment horizontal="center" vertical="center"/>
    </x:xf>
    <x:xf numFmtId="0" fontId="1" fillId="11" borderId="0" xfId="0" applyNumberFormat="1" applyFont="1" applyFill="1" applyBorder="1" applyAlignment="1">
      <x:alignment vertical="center"/>
    </x:xf>
    <x:xf numFmtId="0" fontId="7" fillId="11" borderId="0" xfId="0" applyNumberFormat="1" applyFont="1" applyFill="1" applyBorder="1" applyAlignment="1">
      <x:alignment vertical="center"/>
    </x:xf>
    <x:xf numFmtId="0" fontId="7" fillId="11" borderId="11" xfId="0" applyNumberFormat="1" applyFont="1" applyFill="1" applyBorder="1" applyAlignment="1">
      <x:alignment vertical="center"/>
    </x:xf>
    <x:xf numFmtId="0" fontId="7" fillId="11" borderId="12" xfId="0" applyNumberFormat="1" applyFont="1" applyFill="1" applyBorder="1" applyAlignment="1">
      <x:alignment vertical="center"/>
    </x:xf>
    <x:xf numFmtId="0" fontId="7" fillId="11" borderId="13" xfId="0" applyNumberFormat="1" applyFont="1" applyFill="1" applyBorder="1" applyAlignment="1">
      <x:alignment vertical="center"/>
    </x:xf>
    <x:xf numFmtId="0" fontId="7" fillId="11" borderId="11" xfId="0" applyNumberFormat="1" applyFont="1" applyFill="1" applyBorder="1" applyAlignment="1">
      <x:alignment horizontal="center" vertical="center"/>
    </x:xf>
    <x:xf numFmtId="0" fontId="7" fillId="11" borderId="12" xfId="0" applyNumberFormat="1" applyFont="1" applyFill="1" applyBorder="1" applyAlignment="1">
      <x:alignment horizontal="center" vertical="center"/>
    </x:xf>
    <x:xf numFmtId="0" fontId="7" fillId="11" borderId="13" xfId="0" applyNumberFormat="1" applyFont="1" applyFill="1" applyBorder="1" applyAlignment="1">
      <x:alignment horizontal="center" vertical="center"/>
    </x:xf>
    <x:xf numFmtId="0" fontId="1" fillId="12" borderId="0" xfId="0" applyNumberFormat="1" applyFont="1" applyFill="1" applyBorder="1" applyAlignment="1">
      <x:alignment vertical="center"/>
    </x:xf>
    <x:xf numFmtId="0" fontId="7" fillId="12" borderId="0" xfId="0" applyNumberFormat="1" applyFont="1" applyFill="1" applyBorder="1" applyAlignment="1">
      <x:alignment vertical="center"/>
    </x:xf>
    <x:xf numFmtId="0" fontId="7" fillId="12" borderId="11" xfId="0" applyNumberFormat="1" applyFont="1" applyFill="1" applyBorder="1" applyAlignment="1">
      <x:alignment vertical="center"/>
    </x:xf>
    <x:xf numFmtId="0" fontId="7" fillId="12" borderId="12" xfId="0" applyNumberFormat="1" applyFont="1" applyFill="1" applyBorder="1" applyAlignment="1">
      <x:alignment vertical="center"/>
    </x:xf>
    <x:xf numFmtId="0" fontId="7" fillId="12" borderId="13" xfId="0" applyNumberFormat="1" applyFont="1" applyFill="1" applyBorder="1" applyAlignment="1">
      <x:alignment vertical="center"/>
    </x:xf>
    <x:xf numFmtId="0" fontId="7" fillId="12" borderId="11" xfId="0" applyNumberFormat="1" applyFont="1" applyFill="1" applyBorder="1" applyAlignment="1">
      <x:alignment horizontal="center" vertical="center"/>
    </x:xf>
    <x:xf numFmtId="0" fontId="7" fillId="12" borderId="12" xfId="0" applyNumberFormat="1" applyFont="1" applyFill="1" applyBorder="1" applyAlignment="1">
      <x:alignment horizontal="center" vertical="center"/>
    </x:xf>
    <x:xf numFmtId="0" fontId="7" fillId="12" borderId="13" xfId="0" applyNumberFormat="1" applyFont="1" applyFill="1" applyBorder="1" applyAlignment="1">
      <x:alignment horizontal="center" vertical="center"/>
    </x:xf>
    <x:xf numFmtId="0" fontId="1" fillId="13" borderId="0" xfId="0" applyNumberFormat="1" applyFont="1" applyFill="1" applyBorder="1" applyAlignment="1">
      <x:alignment vertical="center"/>
    </x:xf>
    <x:xf numFmtId="0" fontId="7" fillId="13" borderId="0" xfId="0" applyNumberFormat="1" applyFont="1" applyFill="1" applyBorder="1" applyAlignment="1">
      <x:alignment vertical="center"/>
    </x:xf>
    <x:xf numFmtId="0" fontId="7" fillId="13" borderId="11" xfId="0" applyNumberFormat="1" applyFont="1" applyFill="1" applyBorder="1" applyAlignment="1">
      <x:alignment vertical="center"/>
    </x:xf>
    <x:xf numFmtId="0" fontId="7" fillId="13" borderId="12" xfId="0" applyNumberFormat="1" applyFont="1" applyFill="1" applyBorder="1" applyAlignment="1">
      <x:alignment vertical="center"/>
    </x:xf>
    <x:xf numFmtId="0" fontId="7" fillId="13" borderId="13" xfId="0" applyNumberFormat="1" applyFont="1" applyFill="1" applyBorder="1" applyAlignment="1">
      <x:alignment vertical="center"/>
    </x:xf>
    <x:xf numFmtId="0" fontId="7" fillId="13" borderId="11" xfId="0" applyNumberFormat="1" applyFont="1" applyFill="1" applyBorder="1" applyAlignment="1">
      <x:alignment horizontal="center" vertical="center"/>
    </x:xf>
    <x:xf numFmtId="0" fontId="7" fillId="13" borderId="12" xfId="0" applyNumberFormat="1" applyFont="1" applyFill="1" applyBorder="1" applyAlignment="1">
      <x:alignment horizontal="center" vertical="center"/>
    </x:xf>
    <x:xf numFmtId="0" fontId="7" fillId="13" borderId="13" xfId="0" applyNumberFormat="1" applyFont="1" applyFill="1" applyBorder="1" applyAlignment="1">
      <x:alignment horizontal="center" vertical="center"/>
    </x:xf>
    <x:xf numFmtId="0" fontId="1" fillId="14" borderId="0" xfId="0" applyNumberFormat="1" applyFont="1" applyFill="1" applyBorder="1" applyAlignment="1">
      <x:alignment vertical="center"/>
    </x:xf>
    <x:xf numFmtId="0" fontId="7" fillId="14" borderId="0" xfId="0" applyNumberFormat="1" applyFont="1" applyFill="1" applyBorder="1" applyAlignment="1">
      <x:alignment vertical="center"/>
    </x:xf>
    <x:xf numFmtId="0" fontId="7" fillId="14" borderId="11" xfId="0" applyNumberFormat="1" applyFont="1" applyFill="1" applyBorder="1" applyAlignment="1">
      <x:alignment vertical="center"/>
    </x:xf>
    <x:xf numFmtId="0" fontId="7" fillId="14" borderId="12" xfId="0" applyNumberFormat="1" applyFont="1" applyFill="1" applyBorder="1" applyAlignment="1">
      <x:alignment vertical="center"/>
    </x:xf>
    <x:xf numFmtId="0" fontId="7" fillId="14" borderId="13" xfId="0" applyNumberFormat="1" applyFont="1" applyFill="1" applyBorder="1" applyAlignment="1">
      <x:alignment vertical="center"/>
    </x:xf>
    <x:xf numFmtId="0" fontId="7" fillId="14" borderId="11" xfId="0" applyNumberFormat="1" applyFont="1" applyFill="1" applyBorder="1" applyAlignment="1">
      <x:alignment horizontal="center" vertical="center"/>
    </x:xf>
    <x:xf numFmtId="0" fontId="7" fillId="14" borderId="12" xfId="0" applyNumberFormat="1" applyFont="1" applyFill="1" applyBorder="1" applyAlignment="1">
      <x:alignment horizontal="center" vertical="center"/>
    </x:xf>
    <x:xf numFmtId="0" fontId="7" fillId="14" borderId="13" xfId="0" applyNumberFormat="1" applyFont="1" applyFill="1" applyBorder="1" applyAlignment="1">
      <x:alignment horizontal="center" vertical="center"/>
    </x:xf>
    <x:xf numFmtId="0" fontId="1" fillId="15" borderId="0" xfId="0" applyNumberFormat="1" applyFont="1" applyFill="1" applyBorder="1" applyAlignment="1">
      <x:alignment vertical="center"/>
    </x:xf>
    <x:xf numFmtId="0" fontId="7" fillId="15" borderId="0" xfId="0" applyNumberFormat="1" applyFont="1" applyFill="1" applyBorder="1" applyAlignment="1">
      <x:alignment vertical="center"/>
    </x:xf>
    <x:xf numFmtId="0" fontId="7" fillId="15" borderId="11" xfId="0" applyNumberFormat="1" applyFont="1" applyFill="1" applyBorder="1" applyAlignment="1">
      <x:alignment vertical="center"/>
    </x:xf>
    <x:xf numFmtId="0" fontId="7" fillId="15" borderId="12" xfId="0" applyNumberFormat="1" applyFont="1" applyFill="1" applyBorder="1" applyAlignment="1">
      <x:alignment vertical="center"/>
    </x:xf>
    <x:xf numFmtId="0" fontId="7" fillId="15" borderId="13" xfId="0" applyNumberFormat="1" applyFont="1" applyFill="1" applyBorder="1" applyAlignment="1">
      <x:alignment vertical="center"/>
    </x:xf>
    <x:xf numFmtId="0" fontId="7" fillId="15" borderId="11" xfId="0" applyNumberFormat="1" applyFont="1" applyFill="1" applyBorder="1" applyAlignment="1">
      <x:alignment horizontal="center" vertical="center"/>
    </x:xf>
    <x:xf numFmtId="0" fontId="7" fillId="15" borderId="12" xfId="0" applyNumberFormat="1" applyFont="1" applyFill="1" applyBorder="1" applyAlignment="1">
      <x:alignment horizontal="center" vertical="center"/>
    </x:xf>
    <x:xf numFmtId="0" fontId="7" fillId="15" borderId="13" xfId="0" applyNumberFormat="1" applyFont="1" applyFill="1" applyBorder="1" applyAlignment="1">
      <x:alignment horizontal="center" vertical="center"/>
    </x:xf>
    <x:xf numFmtId="0" fontId="1" fillId="16" borderId="0" xfId="0" applyNumberFormat="1" applyFont="1" applyFill="1" applyBorder="1" applyAlignment="1">
      <x:alignment vertical="center"/>
    </x:xf>
    <x:xf numFmtId="0" fontId="7" fillId="16" borderId="0" xfId="0" applyNumberFormat="1" applyFont="1" applyFill="1" applyBorder="1" applyAlignment="1">
      <x:alignment vertical="center"/>
    </x:xf>
    <x:xf numFmtId="0" fontId="7" fillId="16" borderId="11" xfId="0" applyNumberFormat="1" applyFont="1" applyFill="1" applyBorder="1" applyAlignment="1">
      <x:alignment vertical="center"/>
    </x:xf>
    <x:xf numFmtId="0" fontId="7" fillId="16" borderId="12" xfId="0" applyNumberFormat="1" applyFont="1" applyFill="1" applyBorder="1" applyAlignment="1">
      <x:alignment vertical="center"/>
    </x:xf>
    <x:xf numFmtId="0" fontId="7" fillId="16" borderId="13" xfId="0" applyNumberFormat="1" applyFont="1" applyFill="1" applyBorder="1" applyAlignment="1">
      <x:alignment vertical="center"/>
    </x:xf>
    <x:xf numFmtId="0" fontId="7" fillId="16" borderId="11" xfId="0" applyNumberFormat="1" applyFont="1" applyFill="1" applyBorder="1" applyAlignment="1">
      <x:alignment horizontal="center" vertical="center"/>
    </x:xf>
    <x:xf numFmtId="0" fontId="7" fillId="16" borderId="12" xfId="0" applyNumberFormat="1" applyFont="1" applyFill="1" applyBorder="1" applyAlignment="1">
      <x:alignment horizontal="center" vertical="center"/>
    </x:xf>
    <x:xf numFmtId="0" fontId="7" fillId="16" borderId="13" xfId="0" applyNumberFormat="1" applyFont="1" applyFill="1" applyBorder="1" applyAlignment="1">
      <x:alignment horizontal="center" vertical="center"/>
    </x:xf>
    <x:xf numFmtId="0" fontId="1" fillId="17" borderId="0" xfId="0" applyNumberFormat="1" applyFont="1" applyFill="1" applyBorder="1" applyAlignment="1">
      <x:alignment vertical="center"/>
    </x:xf>
    <x:xf numFmtId="0" fontId="7" fillId="17" borderId="0" xfId="0" applyNumberFormat="1" applyFont="1" applyFill="1" applyBorder="1" applyAlignment="1">
      <x:alignment vertical="center"/>
    </x:xf>
    <x:xf numFmtId="0" fontId="7" fillId="17" borderId="11" xfId="0" applyNumberFormat="1" applyFont="1" applyFill="1" applyBorder="1" applyAlignment="1">
      <x:alignment vertical="center"/>
    </x:xf>
    <x:xf numFmtId="0" fontId="7" fillId="17" borderId="12" xfId="0" applyNumberFormat="1" applyFont="1" applyFill="1" applyBorder="1" applyAlignment="1">
      <x:alignment vertical="center"/>
    </x:xf>
    <x:xf numFmtId="0" fontId="7" fillId="17" borderId="13" xfId="0" applyNumberFormat="1" applyFont="1" applyFill="1" applyBorder="1" applyAlignment="1">
      <x:alignment vertical="center"/>
    </x:xf>
    <x:xf numFmtId="0" fontId="7" fillId="17" borderId="11" xfId="0" applyNumberFormat="1" applyFont="1" applyFill="1" applyBorder="1" applyAlignment="1">
      <x:alignment horizontal="center" vertical="center"/>
    </x:xf>
    <x:xf numFmtId="0" fontId="7" fillId="17" borderId="12" xfId="0" applyNumberFormat="1" applyFont="1" applyFill="1" applyBorder="1" applyAlignment="1">
      <x:alignment horizontal="center" vertical="center"/>
    </x:xf>
    <x:xf numFmtId="0" fontId="7" fillId="17" borderId="13" xfId="0" applyNumberFormat="1" applyFont="1" applyFill="1" applyBorder="1" applyAlignment="1">
      <x:alignment horizontal="center" vertical="center"/>
    </x:xf>
    <x:xf numFmtId="0" fontId="1" fillId="18" borderId="0" xfId="0" applyNumberFormat="1" applyFont="1" applyFill="1" applyBorder="1" applyAlignment="1">
      <x:alignment vertical="center"/>
    </x:xf>
    <x:xf numFmtId="0" fontId="7" fillId="18" borderId="0" xfId="0" applyNumberFormat="1" applyFont="1" applyFill="1" applyBorder="1" applyAlignment="1">
      <x:alignment vertical="center"/>
    </x:xf>
    <x:xf numFmtId="0" fontId="7" fillId="18" borderId="11" xfId="0" applyNumberFormat="1" applyFont="1" applyFill="1" applyBorder="1" applyAlignment="1">
      <x:alignment vertical="center"/>
    </x:xf>
    <x:xf numFmtId="0" fontId="7" fillId="18" borderId="12" xfId="0" applyNumberFormat="1" applyFont="1" applyFill="1" applyBorder="1" applyAlignment="1">
      <x:alignment vertical="center"/>
    </x:xf>
    <x:xf numFmtId="0" fontId="7" fillId="18" borderId="13" xfId="0" applyNumberFormat="1" applyFont="1" applyFill="1" applyBorder="1" applyAlignment="1">
      <x:alignment vertical="center"/>
    </x:xf>
    <x:xf numFmtId="0" fontId="7" fillId="18" borderId="11" xfId="0" applyNumberFormat="1" applyFont="1" applyFill="1" applyBorder="1" applyAlignment="1">
      <x:alignment horizontal="center" vertical="center"/>
    </x:xf>
    <x:xf numFmtId="0" fontId="7" fillId="18" borderId="12" xfId="0" applyNumberFormat="1" applyFont="1" applyFill="1" applyBorder="1" applyAlignment="1">
      <x:alignment horizontal="center" vertical="center"/>
    </x:xf>
    <x:xf numFmtId="0" fontId="7" fillId="18" borderId="13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horizontal="center" vertic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7" fillId="11" borderId="0" xfId="0" applyNumberFormat="1" applyFont="1" applyFill="1" applyBorder="1" applyAlignment="1">
      <x:alignment horizontal="center" vertical="center"/>
    </x:xf>
    <x:xf numFmtId="0" fontId="7" fillId="12" borderId="0" xfId="0" applyNumberFormat="1" applyFont="1" applyFill="1" applyBorder="1" applyAlignment="1">
      <x:alignment horizontal="center" vertical="center"/>
    </x:xf>
    <x:xf numFmtId="0" fontId="7" fillId="13" borderId="0" xfId="0" applyNumberFormat="1" applyFont="1" applyFill="1" applyBorder="1" applyAlignment="1">
      <x:alignment horizontal="center" vertical="center"/>
    </x:xf>
    <x:xf numFmtId="0" fontId="7" fillId="14" borderId="0" xfId="0" applyNumberFormat="1" applyFont="1" applyFill="1" applyBorder="1" applyAlignment="1">
      <x:alignment horizontal="center" vertical="center"/>
    </x:xf>
    <x:xf numFmtId="0" fontId="7" fillId="15" borderId="0" xfId="0" applyNumberFormat="1" applyFont="1" applyFill="1" applyBorder="1" applyAlignment="1">
      <x:alignment horizontal="center" vertical="center"/>
    </x:xf>
    <x:xf numFmtId="0" fontId="7" fillId="16" borderId="0" xfId="0" applyNumberFormat="1" applyFont="1" applyFill="1" applyBorder="1" applyAlignment="1">
      <x:alignment horizontal="center" vertical="center"/>
    </x:xf>
    <x:xf numFmtId="0" fontId="7" fillId="17" borderId="0" xfId="0" applyNumberFormat="1" applyFont="1" applyFill="1" applyBorder="1" applyAlignment="1">
      <x:alignment horizontal="center" vertical="center"/>
    </x:xf>
    <x:xf numFmtId="0" fontId="7" fillId="18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center" vertical="center"/>
    </x:xf>
    <x:xf numFmtId="200" fontId="1" fillId="6" borderId="0" xfId="0" applyNumberFormat="1" applyFont="1" applyFill="1" applyBorder="1" applyAlignment="1">
      <x:alignment horizontal="center" vertical="center"/>
    </x:xf>
    <x:xf numFmtId="0" fontId="1" fillId="19" borderId="0" xfId="0" applyNumberFormat="1" applyFont="1" applyFill="1" applyBorder="1" applyAlignment="1">
      <x:alignment horizontal="center" vertical="center"/>
    </x:xf>
    <x:xf numFmtId="0" fontId="1" fillId="19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3">
    <x:dxf>
      <x:font>
        <x:b/>
        <x:color rgb="FF2F7D4A"/>
      </x:font>
      <x:fill>
        <x:patternFill>
          <x:bgColor rgb="FFE7F3EC"/>
        </x:patternFill>
      </x:fill>
    </x:dxf>
    <x:dxf>
      <x:font>
        <x:b/>
        <x:color rgb="FF234A67"/>
      </x:font>
      <x:fill>
        <x:patternFill>
          <x:bgColor rgb="FFE8F1F5"/>
        </x:patternFill>
      </x:fill>
    </x:dxf>
    <x:dxf>
      <x:font>
        <x:b/>
        <x:color rgb="FFB33A3A"/>
      </x:font>
      <x:fill>
        <x:patternFill>
          <x:bgColor rgb="FFFBE7E7"/>
        </x:patternFill>
      </x:fill>
    </x:dxf>
    <x:dxf>
      <x:font>
        <x:b/>
        <x:color rgb="FFA86800"/>
      </x:font>
      <x:fill>
        <x:patternFill>
          <x:bgColor rgb="FFFFF3D6"/>
        </x:patternFill>
      </x:fill>
    </x:dxf>
    <x:dxf>
      <x:font>
        <x:color rgb="FF7B8790"/>
      </x:font>
      <x:fill>
        <x:patternFill>
          <x:bgColor rgb="FFEEF1F3"/>
        </x:patternFill>
      </x:fill>
    </x:dxf>
    <x:dxf>
      <x:font>
        <x:color rgb="FF7B8790"/>
      </x:font>
      <x:fill>
        <x:patternFill>
          <x:bgColor rgb="FFEEF1F3"/>
        </x:patternFill>
      </x:fill>
    </x:dxf>
    <x:dxf>
      <x:font>
        <x:b/>
        <x:color rgb="FF2F7D4A"/>
      </x:font>
      <x:fill>
        <x:patternFill>
          <x:bgColor rgb="FFE7F3EC"/>
        </x:patternFill>
      </x:fill>
    </x:dxf>
    <x:dxf>
      <x:font>
        <x:b/>
        <x:color rgb="FFB33A3A"/>
      </x:font>
      <x:fill>
        <x:patternFill>
          <x:bgColor rgb="FFFBE7E7"/>
        </x:patternFill>
      </x:fill>
    </x:dxf>
    <x:dxf>
      <x:font>
        <x:b/>
        <x:color rgb="FFA86800"/>
      </x:font>
      <x:fill>
        <x:patternFill>
          <x:bgColor rgb="FFFFF3D6"/>
        </x:patternFill>
      </x:fill>
    </x:dxf>
    <x:dxf>
      <x:font>
        <x:b/>
        <x:color rgb="FF2F7D4A"/>
      </x:font>
      <x:fill>
        <x:patternFill>
          <x:bgColor rgb="FFE7F3EC"/>
        </x:patternFill>
      </x:fill>
    </x:dxf>
    <x:dxf>
      <x:font>
        <x:b/>
        <x:color rgb="FF234A67"/>
      </x:font>
      <x:fill>
        <x:patternFill>
          <x:bgColor rgb="FFE8F1F5"/>
        </x:patternFill>
      </x:fill>
    </x:dxf>
    <x:dxf>
      <x:font>
        <x:b/>
        <x:color rgb="FFA86800"/>
      </x:font>
      <x:fill>
        <x:patternFill>
          <x:bgColor rgb="FFFFF3D6"/>
        </x:patternFill>
      </x:fill>
    </x:dxf>
    <x:dxf>
      <x:font>
        <x:color rgb="FF7B8790"/>
      </x:font>
      <x:fill>
        <x:patternFill>
          <x:bgColor rgb="FFEEF1F3"/>
        </x:patternFill>
      </x:fill>
    </x:dxf>
    <x:dxf>
      <x:font>
        <x:b/>
        <x:color rgb="FF2F7D4A"/>
      </x:font>
      <x:fill>
        <x:patternFill>
          <x:bgColor rgb="FFE7F3EC"/>
        </x:patternFill>
      </x:fill>
    </x:dxf>
    <x:dxf>
      <x:font>
        <x:b/>
        <x:color rgb="FF234A67"/>
      </x:font>
      <x:fill>
        <x:patternFill>
          <x:bgColor rgb="FFE8F1F5"/>
        </x:patternFill>
      </x:fill>
    </x:dxf>
    <x:dxf>
      <x:font>
        <x:b/>
        <x:color rgb="FFA86800"/>
      </x:font>
      <x:fill>
        <x:patternFill>
          <x:bgColor rgb="FFFFF3D6"/>
        </x:patternFill>
      </x:fill>
    </x:dxf>
    <x:dxf>
      <x:font>
        <x:color rgb="FF7B8790"/>
      </x:font>
      <x:fill>
        <x:patternFill>
          <x:bgColor rgb="FFEEF1F3"/>
        </x:patternFill>
      </x:fill>
    </x:dxf>
    <x:dxf>
      <x:font>
        <x:b/>
        <x:color rgb="FF2F7D4A"/>
      </x:font>
      <x:fill>
        <x:patternFill>
          <x:bgColor rgb="FFE7F3EC"/>
        </x:patternFill>
      </x:fill>
    </x:dxf>
    <x:dxf>
      <x:font>
        <x:color rgb="FFA86800"/>
      </x:font>
      <x:fill>
        <x:patternFill>
          <x:bgColor rgb="FFFFF3D6"/>
        </x:patternFill>
      </x:fill>
    </x:dxf>
    <x:dxf>
      <x:font>
        <x:color rgb="FF7B8790"/>
      </x:font>
      <x:fill>
        <x:patternFill>
          <x:bgColor rgb="FFEEF1F3"/>
        </x:patternFill>
      </x:fill>
    </x:dxf>
    <x:dxf>
      <x:font>
        <x:b/>
        <x:color rgb="FF2F7D4A"/>
      </x:font>
      <x:fill>
        <x:patternFill patternType="solid">
          <x:bgColor rgb="FFE7F3EC"/>
        </x:patternFill>
      </x:fill>
    </x:dxf>
    <x:dxf>
      <x:font>
        <x:color rgb="FFA86800"/>
      </x:font>
      <x:fill>
        <x:patternFill patternType="solid">
          <x:bgColor rgb="FFFFF3D6"/>
        </x:patternFill>
      </x:fill>
    </x:dxf>
    <x:dxf>
      <x:font>
        <x:color rgb="FF7B8790"/>
      </x:font>
      <x:fill>
        <x:patternFill patternType="solid">
          <x:bgColor rgb="FFEEF1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3d71f7ec914ac1" /><Relationship Type="http://schemas.openxmlformats.org/officeDocument/2006/relationships/theme" Target="/xl/theme/theme1.xml" Id="R4f48a09585344061" /><Relationship Type="http://schemas.openxmlformats.org/officeDocument/2006/relationships/sharedStrings" Target="/xl/sharedStrings.xml" Id="R3609f2ab2eda4938" /><Relationship Type="http://schemas.openxmlformats.org/officeDocument/2006/relationships/worksheet" Target="/xl/worksheets/sheet1.xml" Id="R40ac7cc3da204ee6" /><Relationship Type="http://schemas.openxmlformats.org/officeDocument/2006/relationships/worksheet" Target="/xl/worksheets/sheet2.xml" Id="R5edb317039a544c2" /><Relationship Type="http://schemas.openxmlformats.org/officeDocument/2006/relationships/worksheet" Target="/xl/worksheets/sheet3.xml" Id="R82f00c24a4bb4868" /><Relationship Type="http://schemas.openxmlformats.org/officeDocument/2006/relationships/worksheet" Target="/xl/worksheets/sheet4.xml" Id="R9dcc0ea9176f4e9b" /><Relationship Type="http://schemas.openxmlformats.org/officeDocument/2006/relationships/worksheet" Target="/xl/worksheets/sheet5.xml" Id="Rca3199d2cee04a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f73cea062146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各阶段通过与待执行任务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通过</c:v>
          </c:tx>
          <c:spPr>
            <a:solidFill xmlns:a="http://schemas.openxmlformats.org/drawingml/2006/main">
              <a:srgbClr val="2F7D4A"/>
            </a:solidFill>
          </c:spPr>
          <c:cat>
            <c:strRef>
              <c:f>'任务总览'!$A$10:$A$20</c:f>
              <c:strCache>
                <c:ptCount val="0"/>
              </c:strCache>
            </c:strRef>
          </c:cat>
          <c:val>
            <c:numRef>
              <c:f>'任务总览'!$D$10:$D$20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待执行</c:v>
          </c:tx>
          <c:spPr>
            <a:solidFill xmlns:a="http://schemas.openxmlformats.org/drawingml/2006/main">
              <a:srgbClr val="7B8790"/>
            </a:solidFill>
          </c:spPr>
          <c:cat>
            <c:strRef>
              <c:f>'任务总览'!$A$10:$A$20</c:f>
              <c:strCache>
                <c:ptCount val="0"/>
              </c:strCache>
            </c:strRef>
          </c:cat>
          <c:val>
            <c:numRef>
              <c:f>'任务总览'!$H$10:$H$20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f73cea0621468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ystemTaskTable" displayName="SystemTaskTable" ref="A6:O67" headerRowCount="1" totalsRowCount="0" totalsRowShown="0">
  <x:tableColumns count="15">
    <x:tableColumn id="1" name="序号"/>
    <x:tableColumn id="2" name="任务类别"/>
    <x:tableColumn id="3" name="阶段"/>
    <x:tableColumn id="4" name="任务编号"/>
    <x:tableColumn id="5" name="任务名称"/>
    <x:tableColumn id="6" name="执行角色"/>
    <x:tableColumn id="7" name="前置条件/关联数据"/>
    <x:tableColumn id="8" name="执行状态"/>
    <x:tableColumn id="9" name="执行人"/>
    <x:tableColumn id="10" name="开始日期"/>
    <x:tableColumn id="11" name="完成日期"/>
    <x:tableColumn id="12" name="实际结果/问题记录"/>
    <x:tableColumn id="13" name="证据位置"/>
    <x:tableColumn id="14" name="缺陷编号"/>
    <x:tableColumn id="15" name="复测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DetailTable" displayName="TaskDetailTable" ref="A6:I67" headerRowCount="1" totalsRowCount="0" totalsRowShown="0">
  <x:tableColumns count="9">
    <x:tableColumn id="1" name="序号"/>
    <x:tableColumn id="2" name="阶段"/>
    <x:tableColumn id="3" name="任务编号"/>
    <x:tableColumn id="4" name="任务名称"/>
    <x:tableColumn id="5" name="执行角色"/>
    <x:tableColumn id="6" name="操作入口"/>
    <x:tableColumn id="7" name="操作步骤"/>
    <x:tableColumn id="8" name="预期结果"/>
    <x:tableColumn id="9" name="输出数据/证据要求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PreparationTable" displayName="PreparationTable" ref="A6:G14" headerRowCount="1" totalsRowCount="0" totalsRowShown="0">
  <x:tableColumns count="7">
    <x:tableColumn id="1" name="类别"/>
    <x:tableColumn id="2" name="前置项"/>
    <x:tableColumn id="3" name="来源任务"/>
    <x:tableColumn id="4" name="负责人"/>
    <x:tableColumn id="5" name="本次使用的数据/编号"/>
    <x:tableColumn id="6" name="准备状态"/>
    <x:tableColumn id="7" name="备注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BusinessDataTable" displayName="BusinessDataTable" ref="A19:G25" headerRowCount="1" totalsRowCount="0" totalsRowShown="0">
  <x:tableColumns count="7">
    <x:tableColumn id="1" name="类别"/>
    <x:tableColumn id="2" name="前置项"/>
    <x:tableColumn id="3" name="来源任务"/>
    <x:tableColumn id="4" name="负责人"/>
    <x:tableColumn id="5" name="本次使用的数据/编号"/>
    <x:tableColumn id="6" name="准备状态"/>
    <x:tableColumn id="7" name="备注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UserTaskMatrixTable" displayName="UserTaskMatrixTable" ref="A6:BR32" headerRowCount="1" totalsRowCount="0" totalsRowShown="0">
  <x:tableColumns count="70">
    <x:tableColumn id="1" name="用户ID"/>
    <x:tableColumn id="2" name="用户名"/>
    <x:tableColumn id="3" name="邮箱"/>
    <x:tableColumn id="4" name="角色"/>
    <x:tableColumn id="5" name="部门"/>
    <x:tableColumn id="6" name="基地"/>
    <x:tableColumn id="7" name="账号状态"/>
    <x:tableColumn id="8" name="完成数"/>
    <x:tableColumn id="9" name="完成率"/>
    <x:tableColumn id="10" name="A01"/>
    <x:tableColumn id="11" name="A02"/>
    <x:tableColumn id="12" name="A03"/>
    <x:tableColumn id="13" name="A04"/>
    <x:tableColumn id="14" name="A05"/>
    <x:tableColumn id="15" name="A06"/>
    <x:tableColumn id="16" name="A07"/>
    <x:tableColumn id="17" name="A08"/>
    <x:tableColumn id="18" name="A09"/>
    <x:tableColumn id="19" name="A10"/>
    <x:tableColumn id="20" name="A11"/>
    <x:tableColumn id="21" name="B01"/>
    <x:tableColumn id="22" name="C01"/>
    <x:tableColumn id="23" name="D01"/>
    <x:tableColumn id="24" name="D02"/>
    <x:tableColumn id="25" name="D03"/>
    <x:tableColumn id="26" name="D04"/>
    <x:tableColumn id="27" name="D05"/>
    <x:tableColumn id="28" name="D06"/>
    <x:tableColumn id="29" name="D07"/>
    <x:tableColumn id="30" name="E01"/>
    <x:tableColumn id="31" name="E02"/>
    <x:tableColumn id="32" name="E03"/>
    <x:tableColumn id="33" name="E04"/>
    <x:tableColumn id="34" name="F01"/>
    <x:tableColumn id="35" name="F02"/>
    <x:tableColumn id="36" name="F03"/>
    <x:tableColumn id="37" name="F04"/>
    <x:tableColumn id="38" name="F05"/>
    <x:tableColumn id="39" name="G01"/>
    <x:tableColumn id="40" name="G02"/>
    <x:tableColumn id="41" name="G03"/>
    <x:tableColumn id="42" name="G04"/>
    <x:tableColumn id="43" name="G05"/>
    <x:tableColumn id="44" name="G06"/>
    <x:tableColumn id="45" name="G07"/>
    <x:tableColumn id="46" name="G08"/>
    <x:tableColumn id="47" name="G09"/>
    <x:tableColumn id="48" name="G10"/>
    <x:tableColumn id="49" name="G11"/>
    <x:tableColumn id="50" name="H01"/>
    <x:tableColumn id="51" name="H02"/>
    <x:tableColumn id="52" name="H03"/>
    <x:tableColumn id="53" name="H04"/>
    <x:tableColumn id="54" name="H05"/>
    <x:tableColumn id="55" name="H06"/>
    <x:tableColumn id="56" name="I01"/>
    <x:tableColumn id="57" name="I02"/>
    <x:tableColumn id="58" name="I03"/>
    <x:tableColumn id="59" name="I04"/>
    <x:tableColumn id="60" name="I05"/>
    <x:tableColumn id="61" name="J01"/>
    <x:tableColumn id="62" name="J02"/>
    <x:tableColumn id="63" name="J03"/>
    <x:tableColumn id="64" name="J04"/>
    <x:tableColumn id="65" name="J05"/>
    <x:tableColumn id="66" name="J06"/>
    <x:tableColumn id="67" name="K01"/>
    <x:tableColumn id="68" name="K02"/>
    <x:tableColumn id="69" name="K03"/>
    <x:tableColumn id="70" name="K0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f18f94b91f47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b8fd08c34146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0101dcfd7141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1929a5f66a4f4e" /><Relationship Type="http://schemas.openxmlformats.org/officeDocument/2006/relationships/table" Target="/xl/tables/table4.xml" Id="Rc81ae2b8396e4d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49c7006e74a4460" /></Relationships>
</file>

<file path=xl/worksheets/sheet1.xml><?xml version="1.0" encoding="utf-8"?>
<x:worksheet xmlns:x="http://schemas.openxmlformats.org/spreadsheetml/2006/main">
  <x:sheetPr>
    <x:tabColor rgb="FF234A6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7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6" customHeight="1">
      <x:c r="A2" s="3" t="str">
        <x:v>用户系统操作任务总览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4" customHeight="1">
      <x:c r="A3" s="5" t="str">
        <x:v>按前置准备、客户、成品材料、项目、配方、排产、生产测试和闭环顺序执行；在“任务清单”填写状态后，本页自动更新。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6"/>
      <x:c r="B4" s="6"/>
      <x:c r="C4" s="6"/>
      <x:c r="D4" s="6"/>
      <x:c r="E4" s="6"/>
      <x:c r="F4" s="6"/>
      <x:c r="G4" s="6"/>
      <x:c r="H4" s="6"/>
      <x:c r="I4" s="6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12" t="str">
        <x:v>总任务</x:v>
      </x:c>
      <x:c r="B6" s="13" t="str"/>
      <x:c r="C6" s="12" t="str">
        <x:v>已通过</x:v>
      </x:c>
      <x:c r="D6" s="13" t="str"/>
      <x:c r="E6" s="12" t="str">
        <x:v>完成率</x:v>
      </x:c>
      <x:c r="F6" s="13" t="str"/>
      <x:c r="G6" s="17" t="str">
        <x:v>需关注</x:v>
      </x:c>
      <x:c r="H6" s="18" t="str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14" t="n">
        <x:f>COUNTA('任务清单'!$D$7:$D$67)</x:f>
        <x:v>61</x:v>
      </x:c>
      <x:c r="B7" s="15"/>
      <x:c r="C7" s="14" t="n">
        <x:f>COUNTIFS('任务清单'!$H$7:$H$67,"通过")</x:f>
        <x:v>0</x:v>
      </x:c>
      <x:c r="D7" s="15"/>
      <x:c r="E7" s="16" t="n">
        <x:f>IF(A7=0,0,C7/A7)</x:f>
        <x:v>0</x:v>
      </x:c>
      <x:c r="F7" s="15"/>
      <x:c r="G7" s="21" t="n">
        <x:f>COUNTIFS('任务清单'!$H$7:$H$67,"失败")+COUNTIFS('任务清单'!$H$7:$H$67,"阻塞")</x:f>
        <x:v>0</x:v>
      </x:c>
      <x:c r="H7" s="20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8" customHeight="1">
      <x:c r="A9" s="25" t="str">
        <x:v>阶段</x:v>
      </x:c>
      <x:c r="B9" s="25" t="str">
        <x:v>阶段名称</x:v>
      </x:c>
      <x:c r="C9" s="25" t="str">
        <x:v>任务数</x:v>
      </x:c>
      <x:c r="D9" s="25" t="str">
        <x:v>通过</x:v>
      </x:c>
      <x:c r="E9" s="25" t="str">
        <x:v>进行中</x:v>
      </x:c>
      <x:c r="F9" s="25" t="str">
        <x:v>失败/阻塞</x:v>
      </x:c>
      <x:c r="G9" s="25" t="str">
        <x:v>不适用</x:v>
      </x:c>
      <x:c r="H9" s="25" t="str">
        <x:v>待执行</x:v>
      </x:c>
      <x:c r="I9" s="25" t="str">
        <x:v>完成率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6" t="str">
        <x:v>A</x:v>
      </x:c>
      <x:c r="B10" s="22" t="str">
        <x:v>执行准备与系统前置数据</x:v>
      </x:c>
      <x:c r="C10" s="26" t="n">
        <x:f>COUNTIFS('任务清单'!$C$7:$C$67,$A10)</x:f>
        <x:v>11</x:v>
      </x:c>
      <x:c r="D10" s="26" t="n">
        <x:f>COUNTIFS('任务清单'!$C$7:$C$67,$A10,'任务清单'!$H$7:$H$67,"通过")</x:f>
        <x:v>0</x:v>
      </x:c>
      <x:c r="E10" s="26" t="n">
        <x:f>COUNTIFS('任务清单'!$C$7:$C$67,$A10,'任务清单'!$H$7:$H$67,"进行中")</x:f>
        <x:v>0</x:v>
      </x:c>
      <x:c r="F10" s="26" t="n">
        <x:f>COUNTIFS('任务清单'!$C$7:$C$67,$A10,'任务清单'!$H$7:$H$67,"失败")+COUNTIFS('任务清单'!$C$7:$C$67,$A10,'任务清单'!$H$7:$H$67,"阻塞")</x:f>
        <x:v>0</x:v>
      </x:c>
      <x:c r="G10" s="26" t="n">
        <x:f>COUNTIFS('任务清单'!$C$7:$C$67,$A10,'任务清单'!$H$7:$H$67,"不适用")</x:f>
        <x:v>0</x:v>
      </x:c>
      <x:c r="H10" s="26" t="n">
        <x:f>COUNTIFS('任务清单'!$C$7:$C$67,$A10,'任务清单'!$H$7:$H$67,"未开始")</x:f>
        <x:v>11</x:v>
      </x:c>
      <x:c r="I10" s="27" t="n">
        <x:f>IF(C10=0,0,D10/C10)</x:f>
        <x:v>0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6" t="str">
        <x:v>B</x:v>
      </x:c>
      <x:c r="B11" s="22" t="str">
        <x:v>客户与 OEM</x:v>
      </x:c>
      <x:c r="C11" s="26" t="n">
        <x:f>COUNTIFS('任务清单'!$C$7:$C$67,$A11)</x:f>
        <x:v>1</x:v>
      </x:c>
      <x:c r="D11" s="26" t="n">
        <x:f>COUNTIFS('任务清单'!$C$7:$C$67,$A11,'任务清单'!$H$7:$H$67,"通过")</x:f>
        <x:v>0</x:v>
      </x:c>
      <x:c r="E11" s="26" t="n">
        <x:f>COUNTIFS('任务清单'!$C$7:$C$67,$A11,'任务清单'!$H$7:$H$67,"进行中")</x:f>
        <x:v>0</x:v>
      </x:c>
      <x:c r="F11" s="26" t="n">
        <x:f>COUNTIFS('任务清单'!$C$7:$C$67,$A11,'任务清单'!$H$7:$H$67,"失败")+COUNTIFS('任务清单'!$C$7:$C$67,$A11,'任务清单'!$H$7:$H$67,"阻塞")</x:f>
        <x:v>0</x:v>
      </x:c>
      <x:c r="G11" s="26" t="n">
        <x:f>COUNTIFS('任务清单'!$C$7:$C$67,$A11,'任务清单'!$H$7:$H$67,"不适用")</x:f>
        <x:v>0</x:v>
      </x:c>
      <x:c r="H11" s="26" t="n">
        <x:f>COUNTIFS('任务清单'!$C$7:$C$67,$A11,'任务清单'!$H$7:$H$67,"未开始")</x:f>
        <x:v>1</x:v>
      </x:c>
      <x:c r="I11" s="27" t="n">
        <x:f>IF(C11=0,0,D11/C11)</x:f>
        <x:v>0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6" t="str">
        <x:v>C</x:v>
      </x:c>
      <x:c r="B12" s="22" t="str">
        <x:v>成品材料</x:v>
      </x:c>
      <x:c r="C12" s="26" t="n">
        <x:f>COUNTIFS('任务清单'!$C$7:$C$67,$A12)</x:f>
        <x:v>1</x:v>
      </x:c>
      <x:c r="D12" s="26" t="n">
        <x:f>COUNTIFS('任务清单'!$C$7:$C$67,$A12,'任务清单'!$H$7:$H$67,"通过")</x:f>
        <x:v>0</x:v>
      </x:c>
      <x:c r="E12" s="26" t="n">
        <x:f>COUNTIFS('任务清单'!$C$7:$C$67,$A12,'任务清单'!$H$7:$H$67,"进行中")</x:f>
        <x:v>0</x:v>
      </x:c>
      <x:c r="F12" s="26" t="n">
        <x:f>COUNTIFS('任务清单'!$C$7:$C$67,$A12,'任务清单'!$H$7:$H$67,"失败")+COUNTIFS('任务清单'!$C$7:$C$67,$A12,'任务清单'!$H$7:$H$67,"阻塞")</x:f>
        <x:v>0</x:v>
      </x:c>
      <x:c r="G12" s="26" t="n">
        <x:f>COUNTIFS('任务清单'!$C$7:$C$67,$A12,'任务清单'!$H$7:$H$67,"不适用")</x:f>
        <x:v>0</x:v>
      </x:c>
      <x:c r="H12" s="26" t="n">
        <x:f>COUNTIFS('任务清单'!$C$7:$C$67,$A12,'任务清单'!$H$7:$H$67,"未开始")</x:f>
        <x:v>1</x:v>
      </x:c>
      <x:c r="I12" s="27" t="n">
        <x:f>IF(C12=0,0,D12/C12)</x:f>
        <x:v>0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6" t="str">
        <x:v>D</x:v>
      </x:c>
      <x:c r="B13" s="22" t="str">
        <x:v>项目创建与协作</x:v>
      </x:c>
      <x:c r="C13" s="26" t="n">
        <x:f>COUNTIFS('任务清单'!$C$7:$C$67,$A13)</x:f>
        <x:v>7</x:v>
      </x:c>
      <x:c r="D13" s="26" t="n">
        <x:f>COUNTIFS('任务清单'!$C$7:$C$67,$A13,'任务清单'!$H$7:$H$67,"通过")</x:f>
        <x:v>0</x:v>
      </x:c>
      <x:c r="E13" s="26" t="n">
        <x:f>COUNTIFS('任务清单'!$C$7:$C$67,$A13,'任务清单'!$H$7:$H$67,"进行中")</x:f>
        <x:v>0</x:v>
      </x:c>
      <x:c r="F13" s="26" t="n">
        <x:f>COUNTIFS('任务清单'!$C$7:$C$67,$A13,'任务清单'!$H$7:$H$67,"失败")+COUNTIFS('任务清单'!$C$7:$C$67,$A13,'任务清单'!$H$7:$H$67,"阻塞")</x:f>
        <x:v>0</x:v>
      </x:c>
      <x:c r="G13" s="26" t="n">
        <x:f>COUNTIFS('任务清单'!$C$7:$C$67,$A13,'任务清单'!$H$7:$H$67,"不适用")</x:f>
        <x:v>0</x:v>
      </x:c>
      <x:c r="H13" s="26" t="n">
        <x:f>COUNTIFS('任务清单'!$C$7:$C$67,$A13,'任务清单'!$H$7:$H$67,"未开始")</x:f>
        <x:v>7</x:v>
      </x:c>
      <x:c r="I13" s="27" t="n">
        <x:f>IF(C13=0,0,D13/C13)</x:f>
        <x:v>0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6" t="str">
        <x:v>E</x:v>
      </x:c>
      <x:c r="B14" s="22" t="str">
        <x:v>实验配方、BOM 与成本</x:v>
      </x:c>
      <x:c r="C14" s="26" t="n">
        <x:f>COUNTIFS('任务清单'!$C$7:$C$67,$A14)</x:f>
        <x:v>4</x:v>
      </x:c>
      <x:c r="D14" s="26" t="n">
        <x:f>COUNTIFS('任务清单'!$C$7:$C$67,$A14,'任务清单'!$H$7:$H$67,"通过")</x:f>
        <x:v>0</x:v>
      </x:c>
      <x:c r="E14" s="26" t="n">
        <x:f>COUNTIFS('任务清单'!$C$7:$C$67,$A14,'任务清单'!$H$7:$H$67,"进行中")</x:f>
        <x:v>0</x:v>
      </x:c>
      <x:c r="F14" s="26" t="n">
        <x:f>COUNTIFS('任务清单'!$C$7:$C$67,$A14,'任务清单'!$H$7:$H$67,"失败")+COUNTIFS('任务清单'!$C$7:$C$67,$A14,'任务清单'!$H$7:$H$67,"阻塞")</x:f>
        <x:v>0</x:v>
      </x:c>
      <x:c r="G14" s="26" t="n">
        <x:f>COUNTIFS('任务清单'!$C$7:$C$67,$A14,'任务清单'!$H$7:$H$67,"不适用")</x:f>
        <x:v>0</x:v>
      </x:c>
      <x:c r="H14" s="26" t="n">
        <x:f>COUNTIFS('任务清单'!$C$7:$C$67,$A14,'任务清单'!$H$7:$H$67,"未开始")</x:f>
        <x:v>4</x:v>
      </x:c>
      <x:c r="I14" s="27" t="n">
        <x:f>IF(C14=0,0,D14/C14)</x:f>
        <x:v>0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6" t="str">
        <x:v>F</x:v>
      </x:c>
      <x:c r="B15" s="22" t="str">
        <x:v>试产工单、审批与排产</x:v>
      </x:c>
      <x:c r="C15" s="26" t="n">
        <x:f>COUNTIFS('任务清单'!$C$7:$C$67,$A15)</x:f>
        <x:v>5</x:v>
      </x:c>
      <x:c r="D15" s="26" t="n">
        <x:f>COUNTIFS('任务清单'!$C$7:$C$67,$A15,'任务清单'!$H$7:$H$67,"通过")</x:f>
        <x:v>0</x:v>
      </x:c>
      <x:c r="E15" s="26" t="n">
        <x:f>COUNTIFS('任务清单'!$C$7:$C$67,$A15,'任务清单'!$H$7:$H$67,"进行中")</x:f>
        <x:v>0</x:v>
      </x:c>
      <x:c r="F15" s="26" t="n">
        <x:f>COUNTIFS('任务清单'!$C$7:$C$67,$A15,'任务清单'!$H$7:$H$67,"失败")+COUNTIFS('任务清单'!$C$7:$C$67,$A15,'任务清单'!$H$7:$H$67,"阻塞")</x:f>
        <x:v>0</x:v>
      </x:c>
      <x:c r="G15" s="26" t="n">
        <x:f>COUNTIFS('任务清单'!$C$7:$C$67,$A15,'任务清单'!$H$7:$H$67,"不适用")</x:f>
        <x:v>0</x:v>
      </x:c>
      <x:c r="H15" s="26" t="n">
        <x:f>COUNTIFS('任务清单'!$C$7:$C$67,$A15,'任务清单'!$H$7:$H$67,"未开始")</x:f>
        <x:v>5</x:v>
      </x:c>
      <x:c r="I15" s="27" t="n">
        <x:f>IF(C15=0,0,D15/C15)</x:f>
        <x:v>0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6" t="str">
        <x:v>G</x:v>
      </x:c>
      <x:c r="B16" s="22" t="str">
        <x:v>生产执行、库存、注塑与测试</x:v>
      </x:c>
      <x:c r="C16" s="26" t="n">
        <x:f>COUNTIFS('任务清单'!$C$7:$C$67,$A16)</x:f>
        <x:v>11</x:v>
      </x:c>
      <x:c r="D16" s="26" t="n">
        <x:f>COUNTIFS('任务清单'!$C$7:$C$67,$A16,'任务清单'!$H$7:$H$67,"通过")</x:f>
        <x:v>0</x:v>
      </x:c>
      <x:c r="E16" s="26" t="n">
        <x:f>COUNTIFS('任务清单'!$C$7:$C$67,$A16,'任务清单'!$H$7:$H$67,"进行中")</x:f>
        <x:v>0</x:v>
      </x:c>
      <x:c r="F16" s="26" t="n">
        <x:f>COUNTIFS('任务清单'!$C$7:$C$67,$A16,'任务清单'!$H$7:$H$67,"失败")+COUNTIFS('任务清单'!$C$7:$C$67,$A16,'任务清单'!$H$7:$H$67,"阻塞")</x:f>
        <x:v>0</x:v>
      </x:c>
      <x:c r="G16" s="26" t="n">
        <x:f>COUNTIFS('任务清单'!$C$7:$C$67,$A16,'任务清单'!$H$7:$H$67,"不适用")</x:f>
        <x:v>0</x:v>
      </x:c>
      <x:c r="H16" s="26" t="n">
        <x:f>COUNTIFS('任务清单'!$C$7:$C$67,$A16,'任务清单'!$H$7:$H$67,"未开始")</x:f>
        <x:v>11</x:v>
      </x:c>
      <x:c r="I16" s="27" t="n">
        <x:f>IF(C16=0,0,D16/C16)</x:f>
        <x:v>0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6" t="str">
        <x:v>H</x:v>
      </x:c>
      <x:c r="B17" s="22" t="str">
        <x:v>项目闭环、发布和看板</x:v>
      </x:c>
      <x:c r="C17" s="26" t="n">
        <x:f>COUNTIFS('任务清单'!$C$7:$C$67,$A17)</x:f>
        <x:v>6</x:v>
      </x:c>
      <x:c r="D17" s="26" t="n">
        <x:f>COUNTIFS('任务清单'!$C$7:$C$67,$A17,'任务清单'!$H$7:$H$67,"通过")</x:f>
        <x:v>0</x:v>
      </x:c>
      <x:c r="E17" s="26" t="n">
        <x:f>COUNTIFS('任务清单'!$C$7:$C$67,$A17,'任务清单'!$H$7:$H$67,"进行中")</x:f>
        <x:v>0</x:v>
      </x:c>
      <x:c r="F17" s="26" t="n">
        <x:f>COUNTIFS('任务清单'!$C$7:$C$67,$A17,'任务清单'!$H$7:$H$67,"失败")+COUNTIFS('任务清单'!$C$7:$C$67,$A17,'任务清单'!$H$7:$H$67,"阻塞")</x:f>
        <x:v>0</x:v>
      </x:c>
      <x:c r="G17" s="26" t="n">
        <x:f>COUNTIFS('任务清单'!$C$7:$C$67,$A17,'任务清单'!$H$7:$H$67,"不适用")</x:f>
        <x:v>0</x:v>
      </x:c>
      <x:c r="H17" s="26" t="n">
        <x:f>COUNTIFS('任务清单'!$C$7:$C$67,$A17,'任务清单'!$H$7:$H$67,"未开始")</x:f>
        <x:v>6</x:v>
      </x:c>
      <x:c r="I17" s="27" t="n">
        <x:f>IF(C17=0,0,D17/C17)</x:f>
        <x:v>0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6" t="str">
        <x:v>I</x:v>
      </x:c>
      <x:c r="B18" s="22" t="str">
        <x:v>扩展业务流程</x:v>
      </x:c>
      <x:c r="C18" s="26" t="n">
        <x:f>COUNTIFS('任务清单'!$C$7:$C$67,$A18)</x:f>
        <x:v>5</x:v>
      </x:c>
      <x:c r="D18" s="26" t="n">
        <x:f>COUNTIFS('任务清单'!$C$7:$C$67,$A18,'任务清单'!$H$7:$H$67,"通过")</x:f>
        <x:v>0</x:v>
      </x:c>
      <x:c r="E18" s="26" t="n">
        <x:f>COUNTIFS('任务清单'!$C$7:$C$67,$A18,'任务清单'!$H$7:$H$67,"进行中")</x:f>
        <x:v>0</x:v>
      </x:c>
      <x:c r="F18" s="26" t="n">
        <x:f>COUNTIFS('任务清单'!$C$7:$C$67,$A18,'任务清单'!$H$7:$H$67,"失败")+COUNTIFS('任务清单'!$C$7:$C$67,$A18,'任务清单'!$H$7:$H$67,"阻塞")</x:f>
        <x:v>0</x:v>
      </x:c>
      <x:c r="G18" s="26" t="n">
        <x:f>COUNTIFS('任务清单'!$C$7:$C$67,$A18,'任务清单'!$H$7:$H$67,"不适用")</x:f>
        <x:v>0</x:v>
      </x:c>
      <x:c r="H18" s="26" t="n">
        <x:f>COUNTIFS('任务清单'!$C$7:$C$67,$A18,'任务清单'!$H$7:$H$67,"未开始")</x:f>
        <x:v>5</x:v>
      </x:c>
      <x:c r="I18" s="27" t="n">
        <x:f>IF(C18=0,0,D18/C18)</x:f>
        <x:v>0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6" t="str">
        <x:v>J</x:v>
      </x:c>
      <x:c r="B19" s="22" t="str">
        <x:v>异常、边界和安全验证</x:v>
      </x:c>
      <x:c r="C19" s="26" t="n">
        <x:f>COUNTIFS('任务清单'!$C$7:$C$67,$A19)</x:f>
        <x:v>6</x:v>
      </x:c>
      <x:c r="D19" s="26" t="n">
        <x:f>COUNTIFS('任务清单'!$C$7:$C$67,$A19,'任务清单'!$H$7:$H$67,"通过")</x:f>
        <x:v>0</x:v>
      </x:c>
      <x:c r="E19" s="26" t="n">
        <x:f>COUNTIFS('任务清单'!$C$7:$C$67,$A19,'任务清单'!$H$7:$H$67,"进行中")</x:f>
        <x:v>0</x:v>
      </x:c>
      <x:c r="F19" s="26" t="n">
        <x:f>COUNTIFS('任务清单'!$C$7:$C$67,$A19,'任务清单'!$H$7:$H$67,"失败")+COUNTIFS('任务清单'!$C$7:$C$67,$A19,'任务清单'!$H$7:$H$67,"阻塞")</x:f>
        <x:v>0</x:v>
      </x:c>
      <x:c r="G19" s="26" t="n">
        <x:f>COUNTIFS('任务清单'!$C$7:$C$67,$A19,'任务清单'!$H$7:$H$67,"不适用")</x:f>
        <x:v>0</x:v>
      </x:c>
      <x:c r="H19" s="26" t="n">
        <x:f>COUNTIFS('任务清单'!$C$7:$C$67,$A19,'任务清单'!$H$7:$H$67,"未开始")</x:f>
        <x:v>6</x:v>
      </x:c>
      <x:c r="I19" s="27" t="n">
        <x:f>IF(C19=0,0,D19/C19)</x:f>
        <x:v>0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6" t="str">
        <x:v>K</x:v>
      </x:c>
      <x:c r="B20" s="22" t="str">
        <x:v>受控高风险任务</x:v>
      </x:c>
      <x:c r="C20" s="26" t="n">
        <x:f>COUNTIFS('任务清单'!$C$7:$C$67,$A20)</x:f>
        <x:v>4</x:v>
      </x:c>
      <x:c r="D20" s="26" t="n">
        <x:f>COUNTIFS('任务清单'!$C$7:$C$67,$A20,'任务清单'!$H$7:$H$67,"通过")</x:f>
        <x:v>0</x:v>
      </x:c>
      <x:c r="E20" s="26" t="n">
        <x:f>COUNTIFS('任务清单'!$C$7:$C$67,$A20,'任务清单'!$H$7:$H$67,"进行中")</x:f>
        <x:v>0</x:v>
      </x:c>
      <x:c r="F20" s="26" t="n">
        <x:f>COUNTIFS('任务清单'!$C$7:$C$67,$A20,'任务清单'!$H$7:$H$67,"失败")+COUNTIFS('任务清单'!$C$7:$C$67,$A20,'任务清单'!$H$7:$H$67,"阻塞")</x:f>
        <x:v>0</x:v>
      </x:c>
      <x:c r="G20" s="26" t="n">
        <x:f>COUNTIFS('任务清单'!$C$7:$C$67,$A20,'任务清单'!$H$7:$H$67,"不适用")</x:f>
        <x:v>0</x:v>
      </x:c>
      <x:c r="H20" s="26" t="n">
        <x:f>COUNTIFS('任务清单'!$C$7:$C$67,$A20,'任务清单'!$H$7:$H$67,"未开始")</x:f>
        <x:v>4</x:v>
      </x:c>
      <x:c r="I20" s="27" t="n">
        <x:f>IF(C20=0,0,D20/C20)</x:f>
        <x:v>0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9" t="str">
        <x:v>填写顺序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33" t="str">
        <x:v>1</x:v>
      </x:c>
      <x:c r="B24" s="36" t="str">
        <x:v>先在“前置数据”记录本轮使用的账号、分类、流程、材料、价格、工艺和模具。</x:v>
      </x:c>
      <x:c r="C24" s="36" t="str"/>
      <x:c r="D24" s="36" t="str"/>
      <x:c r="E24" s="36" t="str"/>
      <x:c r="F24" s="36" t="str"/>
      <x:c r="G24" s="36" t="str"/>
      <x:c r="H24" s="36" t="str"/>
      <x:c r="I24" s="36" t="str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34" t="str">
        <x:v>2</x:v>
      </x:c>
      <x:c r="B25" s="37" t="str">
        <x:v>打开“任务清单”，按任务编号从 A01 开始执行；主流程 B–H 不要跨阶段跳做。</x:v>
      </x:c>
      <x:c r="C25" s="37" t="str"/>
      <x:c r="D25" s="37" t="str"/>
      <x:c r="E25" s="37" t="str"/>
      <x:c r="F25" s="37" t="str"/>
      <x:c r="G25" s="37" t="str"/>
      <x:c r="H25" s="37" t="str"/>
      <x:c r="I25" s="37" t="str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34" t="str">
        <x:v>3</x:v>
      </x:c>
      <x:c r="B26" s="37" t="str">
        <x:v>开始任务时把状态改为“进行中”，填写执行人和开始日期。</x:v>
      </x:c>
      <x:c r="C26" s="37" t="str"/>
      <x:c r="D26" s="37" t="str"/>
      <x:c r="E26" s="37" t="str"/>
      <x:c r="F26" s="37" t="str"/>
      <x:c r="G26" s="37" t="str"/>
      <x:c r="H26" s="37" t="str"/>
      <x:c r="I26" s="37" t="str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34" t="str">
        <x:v>4</x:v>
      </x:c>
      <x:c r="B27" s="37" t="str">
        <x:v>完成后填写实际结果、证据位置和完成日期，再选择“通过、失败、阻塞或不适用”。</x:v>
      </x:c>
      <x:c r="C27" s="37" t="str"/>
      <x:c r="D27" s="37" t="str"/>
      <x:c r="E27" s="37" t="str"/>
      <x:c r="F27" s="37" t="str"/>
      <x:c r="G27" s="37" t="str"/>
      <x:c r="H27" s="37" t="str"/>
      <x:c r="I27" s="37" t="str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35" t="str">
        <x:v>5</x:v>
      </x:c>
      <x:c r="B28" s="38" t="str">
        <x:v>失败或阻塞时填写缺陷编号；修复后更新复测状态，任务总览会自动刷新。</x:v>
      </x:c>
      <x:c r="C28" s="38" t="str"/>
      <x:c r="D28" s="38" t="str"/>
      <x:c r="E28" s="38" t="str"/>
      <x:c r="F28" s="38" t="str"/>
      <x:c r="G28" s="38" t="str"/>
      <x:c r="H28" s="38" t="str"/>
      <x:c r="I28" s="38" t="str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2:I2"/>
    <x:mergeCell ref="A3:I3"/>
    <x:mergeCell ref="A23:I23"/>
    <x:mergeCell ref="B24:I24"/>
    <x:mergeCell ref="B25:I25"/>
    <x:mergeCell ref="B26:I26"/>
    <x:mergeCell ref="B27:I27"/>
    <x:mergeCell ref="B28:I28"/>
  </x:mergeCells>
  <x:conditionalFormatting sqref="I10:I20">
    <x:cfRule type="dataBar" priority="1">
      <x:dataBar>
        <x:cfvo type="min"/>
        <x:cfvo type="max"/>
        <x:color rgb="FF2F7D4A"/>
      </x:dataBar>
      <x:extLst>
        <x:ext xmlns:x14="http://schemas.microsoft.com/office/spreadsheetml/2009/9/main" uri="{B025F937-C7B1-47D3-B67F-A62EFF666E3E}">
          <x14:id>{0AED96E9-E18B-8E59-C7E7-12791EB6D03B}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5ff18f94b91f4714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AED96E9-E18B-8E59-C7E7-12791EB6D03B}">
            <x14:dataBar gradient="1">
              <x14:cfvo type="min"/>
              <x14:cfvo type="max"/>
              <x14:fillColor rgb="FF2F7D4A"/>
            </x14:dataBar>
          </x14:cfRule>
          <xm:sqref>I10:I20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Pr>
    <x:tabColor rgb="FF315F7D"/>
  </x:sheetPr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7" hidden="0" customWidth="1"/>
    <x:col min="2" max="2" width="12" hidden="0" customWidth="1"/>
    <x:col min="3" max="3" width="7" hidden="0" customWidth="1"/>
    <x:col min="4" max="4" width="10" hidden="0" customWidth="1"/>
    <x:col min="5" max="5" width="23" hidden="0" customWidth="1"/>
    <x:col min="6" max="6" width="19" hidden="0" customWidth="1"/>
    <x:col min="7" max="7" width="34" hidden="0" customWidth="1"/>
    <x:col min="8" max="8" width="12" hidden="0" customWidth="1"/>
    <x:col min="9" max="9" width="13" hidden="0" customWidth="1"/>
    <x:col min="10" max="10" width="13" hidden="0" customWidth="1"/>
    <x:col min="11" max="11" width="13" hidden="0" customWidth="1"/>
    <x:col min="12" max="12" width="38" hidden="0" customWidth="1"/>
    <x:col min="13" max="13" width="28" hidden="0" customWidth="1"/>
    <x:col min="14" max="14" width="16" hidden="0" customWidth="1"/>
    <x:col min="15" max="15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7" customHeight="1">
      <x:c r="A2" s="3" t="str">
        <x:v>用户系统操作任务清单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6" customHeight="1">
      <x:c r="A3" s="4" t="str">
        <x:v>黄色列为执行人员填写区。按任务编号执行；具体页面入口、操作步骤和预期结果请在“任务详情”按任务编号查找。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39" t="str">
        <x:v>总任务</x:v>
      </x:c>
      <x:c r="B4" s="39" t="n">
        <x:v>61</x:v>
      </x:c>
      <x:c r="C4" s="39" t="str">
        <x:v>未开始</x:v>
      </x:c>
      <x:c r="D4" s="39" t="n">
        <x:f>COUNTIFS($H$7:$H$67,"未开始")</x:f>
        <x:v>61</x:v>
      </x:c>
      <x:c r="E4" s="39" t="str">
        <x:v>通过</x:v>
      </x:c>
      <x:c r="F4" s="39" t="n">
        <x:f>COUNTIFS($H$7:$H$67,"通过")</x:f>
        <x:v>0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4" customHeight="1">
      <x:c r="A6" s="43" t="str">
        <x:v>序号</x:v>
      </x:c>
      <x:c r="B6" s="43" t="str">
        <x:v>任务类别</x:v>
      </x:c>
      <x:c r="C6" s="43" t="str">
        <x:v>阶段</x:v>
      </x:c>
      <x:c r="D6" s="43" t="str">
        <x:v>任务编号</x:v>
      </x:c>
      <x:c r="E6" s="43" t="str">
        <x:v>任务名称</x:v>
      </x:c>
      <x:c r="F6" s="43" t="str">
        <x:v>执行角色</x:v>
      </x:c>
      <x:c r="G6" s="43" t="str">
        <x:v>前置条件/关联数据</x:v>
      </x:c>
      <x:c r="H6" s="43" t="str">
        <x:v>执行状态</x:v>
      </x:c>
      <x:c r="I6" s="43" t="str">
        <x:v>执行人</x:v>
      </x:c>
      <x:c r="J6" s="43" t="str">
        <x:v>开始日期</x:v>
      </x:c>
      <x:c r="K6" s="43" t="str">
        <x:v>完成日期</x:v>
      </x:c>
      <x:c r="L6" s="43" t="str">
        <x:v>实际结果/问题记录</x:v>
      </x:c>
      <x:c r="M6" s="43" t="str">
        <x:v>证据位置</x:v>
      </x:c>
      <x:c r="N6" s="43" t="str">
        <x:v>缺陷编号</x:v>
      </x:c>
      <x:c r="O6" s="43" t="str">
        <x:v>复测状态</x:v>
      </x:c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2" customHeight="1">
      <x:c r="A7" s="45" t="n">
        <x:v>1</x:v>
      </x:c>
      <x:c r="B7" s="45" t="str">
        <x:v>前置准备</x:v>
      </x:c>
      <x:c r="C7" s="45" t="str">
        <x:v>A</x:v>
      </x:c>
      <x:c r="D7" s="45" t="str">
        <x:v>A01</x:v>
      </x:c>
      <x:c r="E7" s="47" t="str">
        <x:v>登录和首次检查</x:v>
      </x:c>
      <x:c r="F7" s="47" t="str">
        <x:v>所有内部账号</x:v>
      </x:c>
      <x:c r="G7" s="48" t="str">
        <x:v>系统地址与登录账号</x:v>
      </x:c>
      <x:c r="H7" s="49" t="str">
        <x:v>未开始</x:v>
      </x:c>
      <x:c r="I7" s="49" t="str"/>
      <x:c r="J7" s="51"/>
      <x:c r="K7" s="51"/>
      <x:c r="L7" s="50" t="str"/>
      <x:c r="M7" s="50" t="str"/>
      <x:c r="N7" s="50" t="str"/>
      <x:c r="O7" s="49" t="str">
        <x:v>不适用</x:v>
      </x:c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2" customHeight="1">
      <x:c r="A8" s="45" t="n">
        <x:v>2</x:v>
      </x:c>
      <x:c r="B8" s="45" t="str">
        <x:v>前置准备</x:v>
      </x:c>
      <x:c r="C8" s="45" t="str">
        <x:v>A</x:v>
      </x:c>
      <x:c r="D8" s="45" t="str">
        <x:v>A02</x:v>
      </x:c>
      <x:c r="E8" s="47" t="str">
        <x:v>通用导航和列表操作</x:v>
      </x:c>
      <x:c r="F8" s="47" t="str">
        <x:v>RD</x:v>
      </x:c>
      <x:c r="G8" s="48" t="str">
        <x:v>A01 登录成功</x:v>
      </x:c>
      <x:c r="H8" s="49" t="str">
        <x:v>未开始</x:v>
      </x:c>
      <x:c r="I8" s="49" t="str"/>
      <x:c r="J8" s="51"/>
      <x:c r="K8" s="51"/>
      <x:c r="L8" s="50" t="str"/>
      <x:c r="M8" s="50" t="str"/>
      <x:c r="N8" s="50" t="str"/>
      <x:c r="O8" s="49" t="str">
        <x:v>不适用</x:v>
      </x:c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2" customHeight="1">
      <x:c r="A9" s="45" t="n">
        <x:v>3</x:v>
      </x:c>
      <x:c r="B9" s="45" t="str">
        <x:v>前置准备</x:v>
      </x:c>
      <x:c r="C9" s="45" t="str">
        <x:v>A</x:v>
      </x:c>
      <x:c r="D9" s="45" t="str">
        <x:v>A03</x:v>
      </x:c>
      <x:c r="E9" s="47" t="str">
        <x:v>角色菜单和数据范围</x:v>
      </x:c>
      <x:c r="F9" s="47" t="str">
        <x:v>ADMIN、RD、VIEWER</x:v>
      </x:c>
      <x:c r="G9" s="48" t="str">
        <x:v>三个账号的角色、部门和工作组不同。</x:v>
      </x:c>
      <x:c r="H9" s="49" t="str">
        <x:v>未开始</x:v>
      </x:c>
      <x:c r="I9" s="49" t="str"/>
      <x:c r="J9" s="51"/>
      <x:c r="K9" s="51"/>
      <x:c r="L9" s="50" t="str"/>
      <x:c r="M9" s="50" t="str"/>
      <x:c r="N9" s="50" t="str"/>
      <x:c r="O9" s="49" t="str">
        <x:v>不适用</x:v>
      </x:c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2" customHeight="1">
      <x:c r="A10" s="45" t="n">
        <x:v>4</x:v>
      </x:c>
      <x:c r="B10" s="45" t="str">
        <x:v>前置准备</x:v>
      </x:c>
      <x:c r="C10" s="45" t="str">
        <x:v>A</x:v>
      </x:c>
      <x:c r="D10" s="45" t="str">
        <x:v>A04</x:v>
      </x:c>
      <x:c r="E10" s="47" t="str">
        <x:v>用户和组织授权</x:v>
      </x:c>
      <x:c r="F10" s="47" t="str">
        <x:v>ADMIN</x:v>
      </x:c>
      <x:c r="G10" s="48" t="str">
        <x:v>A01；管理员权限</x:v>
      </x:c>
      <x:c r="H10" s="49" t="str">
        <x:v>未开始</x:v>
      </x:c>
      <x:c r="I10" s="49" t="str"/>
      <x:c r="J10" s="51"/>
      <x:c r="K10" s="51"/>
      <x:c r="L10" s="50" t="str"/>
      <x:c r="M10" s="50" t="str"/>
      <x:c r="N10" s="50" t="str"/>
      <x:c r="O10" s="49" t="str">
        <x:v>不适用</x:v>
      </x:c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2" customHeight="1">
      <x:c r="A11" s="45" t="n">
        <x:v>5</x:v>
      </x:c>
      <x:c r="B11" s="45" t="str">
        <x:v>前置准备</x:v>
      </x:c>
      <x:c r="C11" s="45" t="str">
        <x:v>A</x:v>
      </x:c>
      <x:c r="D11" s="45" t="str">
        <x:v>A05</x:v>
      </x:c>
      <x:c r="E11" s="47" t="str">
        <x:v>材料、测试和项目基础分类</x:v>
      </x:c>
      <x:c r="F11" s="47" t="str">
        <x:v>ADMIN</x:v>
      </x:c>
      <x:c r="G11" s="48" t="str">
        <x:v>A04；管理员权限</x:v>
      </x:c>
      <x:c r="H11" s="49" t="str">
        <x:v>未开始</x:v>
      </x:c>
      <x:c r="I11" s="49" t="str"/>
      <x:c r="J11" s="51"/>
      <x:c r="K11" s="51"/>
      <x:c r="L11" s="50" t="str"/>
      <x:c r="M11" s="50" t="str"/>
      <x:c r="N11" s="50" t="str"/>
      <x:c r="O11" s="49" t="str">
        <x:v>不适用</x:v>
      </x:c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2" customHeight="1">
      <x:c r="A12" s="45" t="n">
        <x:v>6</x:v>
      </x:c>
      <x:c r="B12" s="45" t="str">
        <x:v>前置准备</x:v>
      </x:c>
      <x:c r="C12" s="45" t="str">
        <x:v>A</x:v>
      </x:c>
      <x:c r="D12" s="45" t="str">
        <x:v>A06</x:v>
      </x:c>
      <x:c r="E12" s="47" t="str">
        <x:v>审批流程定义和审批人</x:v>
      </x:c>
      <x:c r="F12" s="47" t="str">
        <x:v>ADMIN</x:v>
      </x:c>
      <x:c r="G12" s="48" t="str">
        <x:v>A04；审批账号、组织角色或审核组</x:v>
      </x:c>
      <x:c r="H12" s="49" t="str">
        <x:v>未开始</x:v>
      </x:c>
      <x:c r="I12" s="49" t="str"/>
      <x:c r="J12" s="51"/>
      <x:c r="K12" s="51"/>
      <x:c r="L12" s="50" t="str"/>
      <x:c r="M12" s="50" t="str"/>
      <x:c r="N12" s="50" t="str"/>
      <x:c r="O12" s="49" t="str">
        <x:v>不适用</x:v>
      </x:c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2" customHeight="1">
      <x:c r="A13" s="45" t="n">
        <x:v>7</x:v>
      </x:c>
      <x:c r="B13" s="45" t="str">
        <x:v>前置准备</x:v>
      </x:c>
      <x:c r="C13" s="45" t="str">
        <x:v>A</x:v>
      </x:c>
      <x:c r="D13" s="45" t="str">
        <x:v>A07</x:v>
      </x:c>
      <x:c r="E13" s="47" t="str">
        <x:v>动态表单模板</x:v>
      </x:c>
      <x:c r="F13" s="47" t="str">
        <x:v>ADMIN</x:v>
      </x:c>
      <x:c r="G13" s="48" t="str">
        <x:v>A06 测试审批流程</x:v>
      </x:c>
      <x:c r="H13" s="49" t="str">
        <x:v>未开始</x:v>
      </x:c>
      <x:c r="I13" s="49" t="str"/>
      <x:c r="J13" s="51"/>
      <x:c r="K13" s="51"/>
      <x:c r="L13" s="50" t="str"/>
      <x:c r="M13" s="50" t="str"/>
      <x:c r="N13" s="50" t="str"/>
      <x:c r="O13" s="49" t="str">
        <x:v>不适用</x:v>
      </x:c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42" customHeight="1">
      <x:c r="A14" s="45" t="n">
        <x:v>8</x:v>
      </x:c>
      <x:c r="B14" s="45" t="str">
        <x:v>前置准备</x:v>
      </x:c>
      <x:c r="C14" s="45" t="str">
        <x:v>A</x:v>
      </x:c>
      <x:c r="D14" s="45" t="str">
        <x:v>A08</x:v>
      </x:c>
      <x:c r="E14" s="47" t="str">
        <x:v>原材料类型、供应商和原材料</x:v>
      </x:c>
      <x:c r="F14" s="47" t="str">
        <x:v>RD 或原材料管理员</x:v>
      </x:c>
      <x:c r="G14" s="48" t="str">
        <x:v>A04；材料类型与测试账号</x:v>
      </x:c>
      <x:c r="H14" s="49" t="str">
        <x:v>未开始</x:v>
      </x:c>
      <x:c r="I14" s="49" t="str"/>
      <x:c r="J14" s="51"/>
      <x:c r="K14" s="51"/>
      <x:c r="L14" s="50" t="str"/>
      <x:c r="M14" s="50" t="str"/>
      <x:c r="N14" s="50" t="str"/>
      <x:c r="O14" s="49" t="str">
        <x:v>不适用</x:v>
      </x:c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42" customHeight="1">
      <x:c r="A15" s="45" t="n">
        <x:v>9</x:v>
      </x:c>
      <x:c r="B15" s="45" t="str">
        <x:v>前置准备</x:v>
      </x:c>
      <x:c r="C15" s="45" t="str">
        <x:v>A</x:v>
      </x:c>
      <x:c r="D15" s="45" t="str">
        <x:v>A09</x:v>
      </x:c>
      <x:c r="E15" s="47" t="str">
        <x:v>原材料价格和成本前置数据</x:v>
      </x:c>
      <x:c r="F15" s="47" t="str">
        <x:v>ADMIN 或价格管理员</x:v>
      </x:c>
      <x:c r="G15" s="48" t="str">
        <x:v>A08 原材料、工厂与历史价格样本</x:v>
      </x:c>
      <x:c r="H15" s="49" t="str">
        <x:v>未开始</x:v>
      </x:c>
      <x:c r="I15" s="49" t="str"/>
      <x:c r="J15" s="51"/>
      <x:c r="K15" s="51"/>
      <x:c r="L15" s="50" t="str"/>
      <x:c r="M15" s="50" t="str"/>
      <x:c r="N15" s="50" t="str"/>
      <x:c r="O15" s="49" t="str">
        <x:v>不适用</x:v>
      </x:c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42" customHeight="1">
      <x:c r="A16" s="45" t="n">
        <x:v>10</x:v>
      </x:c>
      <x:c r="B16" s="45" t="str">
        <x:v>前置准备</x:v>
      </x:c>
      <x:c r="C16" s="45" t="str">
        <x:v>A</x:v>
      </x:c>
      <x:c r="D16" s="45" t="str">
        <x:v>A10</x:v>
      </x:c>
      <x:c r="E16" s="47" t="str">
        <x:v>机台、螺杆和工艺方案</x:v>
      </x:c>
      <x:c r="F16" s="47" t="str">
        <x:v>PROCESS</x:v>
      </x:c>
      <x:c r="G16" s="48" t="str">
        <x:v>A05 材料体系；工艺人员账号</x:v>
      </x:c>
      <x:c r="H16" s="49" t="str">
        <x:v>未开始</x:v>
      </x:c>
      <x:c r="I16" s="49" t="str"/>
      <x:c r="J16" s="51"/>
      <x:c r="K16" s="51"/>
      <x:c r="L16" s="50" t="str"/>
      <x:c r="M16" s="50" t="str"/>
      <x:c r="N16" s="50" t="str"/>
      <x:c r="O16" s="49" t="str">
        <x:v>不适用</x:v>
      </x:c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42" customHeight="1">
      <x:c r="A17" s="45" t="n">
        <x:v>11</x:v>
      </x:c>
      <x:c r="B17" s="45" t="str">
        <x:v>前置准备</x:v>
      </x:c>
      <x:c r="C17" s="45" t="str">
        <x:v>A</x:v>
      </x:c>
      <x:c r="D17" s="45" t="str">
        <x:v>A11</x:v>
      </x:c>
      <x:c r="E17" s="47" t="str">
        <x:v>模具台账</x:v>
      </x:c>
      <x:c r="F17" s="47" t="str">
        <x:v>INJECTION</x:v>
      </x:c>
      <x:c r="G17" s="48" t="str">
        <x:v>A05 测试样条类型与标准；注塑人员账号</x:v>
      </x:c>
      <x:c r="H17" s="49" t="str">
        <x:v>未开始</x:v>
      </x:c>
      <x:c r="I17" s="49" t="str"/>
      <x:c r="J17" s="51"/>
      <x:c r="K17" s="51"/>
      <x:c r="L17" s="50" t="str"/>
      <x:c r="M17" s="50" t="str"/>
      <x:c r="N17" s="50" t="str"/>
      <x:c r="O17" s="49" t="str">
        <x:v>不适用</x:v>
      </x:c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42" customHeight="1">
      <x:c r="A18" s="45" t="n">
        <x:v>12</x:v>
      </x:c>
      <x:c r="B18" s="45" t="str">
        <x:v>主流程</x:v>
      </x:c>
      <x:c r="C18" s="45" t="str">
        <x:v>B</x:v>
      </x:c>
      <x:c r="D18" s="45" t="str">
        <x:v>B01</x:v>
      </x:c>
      <x:c r="E18" s="47" t="str">
        <x:v>客户和 OEM</x:v>
      </x:c>
      <x:c r="F18" s="47" t="str">
        <x:v>SALES</x:v>
      </x:c>
      <x:c r="G18" s="48" t="str">
        <x:v>A04 销售账号及组织权限</x:v>
      </x:c>
      <x:c r="H18" s="49" t="str">
        <x:v>未开始</x:v>
      </x:c>
      <x:c r="I18" s="49" t="str"/>
      <x:c r="J18" s="51"/>
      <x:c r="K18" s="51"/>
      <x:c r="L18" s="50" t="str"/>
      <x:c r="M18" s="50" t="str"/>
      <x:c r="N18" s="50" t="str"/>
      <x:c r="O18" s="49" t="str">
        <x:v>不适用</x:v>
      </x:c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42" customHeight="1">
      <x:c r="A19" s="45" t="n">
        <x:v>13</x:v>
      </x:c>
      <x:c r="B19" s="45" t="str">
        <x:v>主流程</x:v>
      </x:c>
      <x:c r="C19" s="45" t="str">
        <x:v>C</x:v>
      </x:c>
      <x:c r="D19" s="45" t="str">
        <x:v>C01</x:v>
      </x:c>
      <x:c r="E19" s="47" t="str">
        <x:v>成品材料</x:v>
      </x:c>
      <x:c r="F19" s="47" t="str">
        <x:v>RD</x:v>
      </x:c>
      <x:c r="G19" s="48" t="str">
        <x:v>A05 材料类型、应用场景、材料特性和测试标准</x:v>
      </x:c>
      <x:c r="H19" s="49" t="str">
        <x:v>未开始</x:v>
      </x:c>
      <x:c r="I19" s="49" t="str"/>
      <x:c r="J19" s="51"/>
      <x:c r="K19" s="51"/>
      <x:c r="L19" s="50" t="str"/>
      <x:c r="M19" s="50" t="str"/>
      <x:c r="N19" s="50" t="str"/>
      <x:c r="O19" s="49" t="str">
        <x:v>不适用</x:v>
      </x:c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42" customHeight="1">
      <x:c r="A20" s="45" t="n">
        <x:v>14</x:v>
      </x:c>
      <x:c r="B20" s="45" t="str">
        <x:v>主流程</x:v>
      </x:c>
      <x:c r="C20" s="45" t="str">
        <x:v>D</x:v>
      </x:c>
      <x:c r="D20" s="45" t="str">
        <x:v>D01</x:v>
      </x:c>
      <x:c r="E20" s="47" t="str">
        <x:v>基础预研项目</x:v>
      </x:c>
      <x:c r="F20" s="47" t="str">
        <x:v>RD</x:v>
      </x:c>
      <x:c r="G20" s="48" t="str">
        <x:v>A04 研发账号及组织权限</x:v>
      </x:c>
      <x:c r="H20" s="49" t="str">
        <x:v>未开始</x:v>
      </x:c>
      <x:c r="I20" s="49" t="str"/>
      <x:c r="J20" s="51"/>
      <x:c r="K20" s="51"/>
      <x:c r="L20" s="50" t="str"/>
      <x:c r="M20" s="50" t="str"/>
      <x:c r="N20" s="50" t="str"/>
      <x:c r="O20" s="49" t="str">
        <x:v>不适用</x:v>
      </x:c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42" customHeight="1">
      <x:c r="A21" s="45" t="n">
        <x:v>15</x:v>
      </x:c>
      <x:c r="B21" s="45" t="str">
        <x:v>主流程</x:v>
      </x:c>
      <x:c r="C21" s="45" t="str">
        <x:v>D</x:v>
      </x:c>
      <x:c r="D21" s="45" t="str">
        <x:v>D02</x:v>
      </x:c>
      <x:c r="E21" s="47" t="str">
        <x:v>创建研发项目</x:v>
      </x:c>
      <x:c r="F21" s="47" t="str">
        <x:v>RD</x:v>
      </x:c>
      <x:c r="G21" s="48" t="str">
        <x:v>B01 客户/OEM；C01 成品材料；A05 项目分类；A06 审批流程</x:v>
      </x:c>
      <x:c r="H21" s="49" t="str">
        <x:v>未开始</x:v>
      </x:c>
      <x:c r="I21" s="49" t="str"/>
      <x:c r="J21" s="51"/>
      <x:c r="K21" s="51"/>
      <x:c r="L21" s="50" t="str"/>
      <x:c r="M21" s="50" t="str"/>
      <x:c r="N21" s="50" t="str"/>
      <x:c r="O21" s="49" t="str">
        <x:v>不适用</x:v>
      </x:c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42" customHeight="1">
      <x:c r="A22" s="45" t="n">
        <x:v>16</x:v>
      </x:c>
      <x:c r="B22" s="45" t="str">
        <x:v>主流程</x:v>
      </x:c>
      <x:c r="C22" s="45" t="str">
        <x:v>D</x:v>
      </x:c>
      <x:c r="D22" s="45" t="str">
        <x:v>D03</x:v>
      </x:c>
      <x:c r="E22" s="47" t="str">
        <x:v>项目成员和工作量</x:v>
      </x:c>
      <x:c r="F22" s="47" t="str">
        <x:v>RD、SALES</x:v>
      </x:c>
      <x:c r="G22" s="48" t="str">
        <x:v>D02 主流程项目；研发和销售成员账号</x:v>
      </x:c>
      <x:c r="H22" s="49" t="str">
        <x:v>未开始</x:v>
      </x:c>
      <x:c r="I22" s="49" t="str"/>
      <x:c r="J22" s="51"/>
      <x:c r="K22" s="51"/>
      <x:c r="L22" s="50" t="str"/>
      <x:c r="M22" s="50" t="str"/>
      <x:c r="N22" s="50" t="str"/>
      <x:c r="O22" s="49" t="str">
        <x:v>不适用</x:v>
      </x:c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42" customHeight="1">
      <x:c r="A23" s="45" t="n">
        <x:v>17</x:v>
      </x:c>
      <x:c r="B23" s="45" t="str">
        <x:v>主流程</x:v>
      </x:c>
      <x:c r="C23" s="45" t="str">
        <x:v>D</x:v>
      </x:c>
      <x:c r="D23" s="45" t="str">
        <x:v>D04</x:v>
      </x:c>
      <x:c r="E23" s="47" t="str">
        <x:v>项目商务档案与变更审批</x:v>
      </x:c>
      <x:c r="F23" s="47" t="str">
        <x:v>SALES、APPROVER</x:v>
      </x:c>
      <x:c r="G23" s="48" t="str">
        <x:v>D02 主流程项目；B01 客户/OEM；A06 审批人</x:v>
      </x:c>
      <x:c r="H23" s="49" t="str">
        <x:v>未开始</x:v>
      </x:c>
      <x:c r="I23" s="49" t="str"/>
      <x:c r="J23" s="51"/>
      <x:c r="K23" s="51"/>
      <x:c r="L23" s="50" t="str"/>
      <x:c r="M23" s="50" t="str"/>
      <x:c r="N23" s="50" t="str"/>
      <x:c r="O23" s="49" t="str">
        <x:v>不适用</x:v>
      </x:c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42" customHeight="1">
      <x:c r="A24" s="45" t="n">
        <x:v>18</x:v>
      </x:c>
      <x:c r="B24" s="45" t="str">
        <x:v>主流程</x:v>
      </x:c>
      <x:c r="C24" s="45" t="str">
        <x:v>D</x:v>
      </x:c>
      <x:c r="D24" s="45" t="str">
        <x:v>D05</x:v>
      </x:c>
      <x:c r="E24" s="47" t="str">
        <x:v>项目节点推进</x:v>
      </x:c>
      <x:c r="F24" s="47" t="str">
        <x:v>RD、APPROVER</x:v>
      </x:c>
      <x:c r="G24" s="48" t="str">
        <x:v>D02 主流程项目；A06 审批流程</x:v>
      </x:c>
      <x:c r="H24" s="49" t="str">
        <x:v>未开始</x:v>
      </x:c>
      <x:c r="I24" s="49" t="str"/>
      <x:c r="J24" s="51"/>
      <x:c r="K24" s="51"/>
      <x:c r="L24" s="50" t="str"/>
      <x:c r="M24" s="50" t="str"/>
      <x:c r="N24" s="50" t="str"/>
      <x:c r="O24" s="49" t="str">
        <x:v>不适用</x:v>
      </x:c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42" customHeight="1">
      <x:c r="A25" s="45" t="n">
        <x:v>19</x:v>
      </x:c>
      <x:c r="B25" s="45" t="str">
        <x:v>主流程</x:v>
      </x:c>
      <x:c r="C25" s="45" t="str">
        <x:v>D</x:v>
      </x:c>
      <x:c r="D25" s="45" t="str">
        <x:v>D06</x:v>
      </x:c>
      <x:c r="E25" s="47" t="str">
        <x:v>项目动态表单、草稿和附件</x:v>
      </x:c>
      <x:c r="F25" s="47" t="str">
        <x:v>RD</x:v>
      </x:c>
      <x:c r="G25" s="48" t="str">
        <x:v>D02 主流程项目；A07 表单模板</x:v>
      </x:c>
      <x:c r="H25" s="49" t="str">
        <x:v>未开始</x:v>
      </x:c>
      <x:c r="I25" s="49" t="str"/>
      <x:c r="J25" s="51"/>
      <x:c r="K25" s="51"/>
      <x:c r="L25" s="50" t="str"/>
      <x:c r="M25" s="50" t="str"/>
      <x:c r="N25" s="50" t="str"/>
      <x:c r="O25" s="49" t="str">
        <x:v>不适用</x:v>
      </x:c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42" customHeight="1">
      <x:c r="A26" s="45" t="n">
        <x:v>20</x:v>
      </x:c>
      <x:c r="B26" s="45" t="str">
        <x:v>主流程</x:v>
      </x:c>
      <x:c r="C26" s="45" t="str">
        <x:v>D</x:v>
      </x:c>
      <x:c r="D26" s="45" t="str">
        <x:v>D07</x:v>
      </x:c>
      <x:c r="E26" s="47" t="str">
        <x:v>表单审批、退回和再提交</x:v>
      </x:c>
      <x:c r="F26" s="47" t="str">
        <x:v>APPROVER、RD</x:v>
      </x:c>
      <x:c r="G26" s="48" t="str">
        <x:v>D06 已提交表单；A06 审批人</x:v>
      </x:c>
      <x:c r="H26" s="49" t="str">
        <x:v>未开始</x:v>
      </x:c>
      <x:c r="I26" s="49" t="str"/>
      <x:c r="J26" s="51"/>
      <x:c r="K26" s="51"/>
      <x:c r="L26" s="50" t="str"/>
      <x:c r="M26" s="50" t="str"/>
      <x:c r="N26" s="50" t="str"/>
      <x:c r="O26" s="49" t="str">
        <x:v>不适用</x:v>
      </x:c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42" customHeight="1">
      <x:c r="A27" s="45" t="n">
        <x:v>21</x:v>
      </x:c>
      <x:c r="B27" s="45" t="str">
        <x:v>主流程</x:v>
      </x:c>
      <x:c r="C27" s="45" t="str">
        <x:v>E</x:v>
      </x:c>
      <x:c r="D27" s="45" t="str">
        <x:v>E01</x:v>
      </x:c>
      <x:c r="E27" s="47" t="str">
        <x:v>创建配方版本 1</x:v>
      </x:c>
      <x:c r="F27" s="47" t="str">
        <x:v>RD</x:v>
      </x:c>
      <x:c r="G27" s="48" t="str">
        <x:v>D02 项目及当前节点；D01 预研项目；A08 原材料；A10 工艺方案</x:v>
      </x:c>
      <x:c r="H27" s="49" t="str">
        <x:v>未开始</x:v>
      </x:c>
      <x:c r="I27" s="49" t="str"/>
      <x:c r="J27" s="51"/>
      <x:c r="K27" s="51"/>
      <x:c r="L27" s="50" t="str"/>
      <x:c r="M27" s="50" t="str"/>
      <x:c r="N27" s="50" t="str"/>
      <x:c r="O27" s="49" t="str">
        <x:v>不适用</x:v>
      </x:c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42" customHeight="1">
      <x:c r="A28" s="45" t="n">
        <x:v>22</x:v>
      </x:c>
      <x:c r="B28" s="45" t="str">
        <x:v>主流程</x:v>
      </x:c>
      <x:c r="C28" s="45" t="str">
        <x:v>E</x:v>
      </x:c>
      <x:c r="D28" s="45" t="str">
        <x:v>E02</x:v>
      </x:c>
      <x:c r="E28" s="47" t="str">
        <x:v>配方成本和 LOCF 时间线</x:v>
      </x:c>
      <x:c r="F28" s="47" t="str">
        <x:v>RD</x:v>
      </x:c>
      <x:c r="G28" s="48" t="str">
        <x:v>E01 配方 V1；A09 多期间、多工厂价格记录</x:v>
      </x:c>
      <x:c r="H28" s="49" t="str">
        <x:v>未开始</x:v>
      </x:c>
      <x:c r="I28" s="49" t="str"/>
      <x:c r="J28" s="51"/>
      <x:c r="K28" s="51"/>
      <x:c r="L28" s="50" t="str"/>
      <x:c r="M28" s="50" t="str"/>
      <x:c r="N28" s="50" t="str"/>
      <x:c r="O28" s="49" t="str">
        <x:v>不适用</x:v>
      </x:c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42" customHeight="1">
      <x:c r="A29" s="45" t="n">
        <x:v>23</x:v>
      </x:c>
      <x:c r="B29" s="45" t="str">
        <x:v>主流程</x:v>
      </x:c>
      <x:c r="C29" s="45" t="str">
        <x:v>E</x:v>
      </x:c>
      <x:c r="D29" s="45" t="str">
        <x:v>E03</x:v>
      </x:c>
      <x:c r="E29" s="47" t="str">
        <x:v>创建版本 2 和配方对比</x:v>
      </x:c>
      <x:c r="F29" s="47" t="str">
        <x:v>RD</x:v>
      </x:c>
      <x:c r="G29" s="48" t="str">
        <x:v>E01 配方 V1</x:v>
      </x:c>
      <x:c r="H29" s="49" t="str">
        <x:v>未开始</x:v>
      </x:c>
      <x:c r="I29" s="49" t="str"/>
      <x:c r="J29" s="51"/>
      <x:c r="K29" s="51"/>
      <x:c r="L29" s="50" t="str"/>
      <x:c r="M29" s="50" t="str"/>
      <x:c r="N29" s="50" t="str"/>
      <x:c r="O29" s="49" t="str">
        <x:v>不适用</x:v>
      </x:c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42" customHeight="1">
      <x:c r="A30" s="45" t="n">
        <x:v>24</x:v>
      </x:c>
      <x:c r="B30" s="45" t="str">
        <x:v>主流程</x:v>
      </x:c>
      <x:c r="C30" s="45" t="str">
        <x:v>E</x:v>
      </x:c>
      <x:c r="D30" s="45" t="str">
        <x:v>E04</x:v>
      </x:c>
      <x:c r="E30" s="47" t="str">
        <x:v>配色 BOM</x:v>
      </x:c>
      <x:c r="F30" s="47" t="str">
        <x:v>COLOR</x:v>
      </x:c>
      <x:c r="G30" s="48" t="str">
        <x:v>E01 配方 V1；A08 色粉 C；A09 色粉价格</x:v>
      </x:c>
      <x:c r="H30" s="49" t="str">
        <x:v>未开始</x:v>
      </x:c>
      <x:c r="I30" s="49" t="str"/>
      <x:c r="J30" s="51"/>
      <x:c r="K30" s="51"/>
      <x:c r="L30" s="50" t="str"/>
      <x:c r="M30" s="50" t="str"/>
      <x:c r="N30" s="50" t="str"/>
      <x:c r="O30" s="49" t="str">
        <x:v>不适用</x:v>
      </x:c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42" customHeight="1">
      <x:c r="A31" s="45" t="n">
        <x:v>25</x:v>
      </x:c>
      <x:c r="B31" s="45" t="str">
        <x:v>主流程</x:v>
      </x:c>
      <x:c r="C31" s="45" t="str">
        <x:v>F</x:v>
      </x:c>
      <x:c r="D31" s="45" t="str">
        <x:v>F01</x:v>
      </x:c>
      <x:c r="E31" s="47" t="str">
        <x:v>创建试产工单</x:v>
      </x:c>
      <x:c r="F31" s="47" t="str">
        <x:v>RD</x:v>
      </x:c>
      <x:c r="G31" s="48" t="str">
        <x:v>D02 项目；E01/E03 配方版本；A05 测试项目；A10 工艺；A11 模具</x:v>
      </x:c>
      <x:c r="H31" s="49" t="str">
        <x:v>未开始</x:v>
      </x:c>
      <x:c r="I31" s="49" t="str"/>
      <x:c r="J31" s="51"/>
      <x:c r="K31" s="51"/>
      <x:c r="L31" s="50" t="str"/>
      <x:c r="M31" s="50" t="str"/>
      <x:c r="N31" s="50" t="str"/>
      <x:c r="O31" s="49" t="str">
        <x:v>不适用</x:v>
      </x:c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42" customHeight="1">
      <x:c r="A32" s="45" t="n">
        <x:v>26</x:v>
      </x:c>
      <x:c r="B32" s="45" t="str">
        <x:v>主流程</x:v>
      </x:c>
      <x:c r="C32" s="45" t="str">
        <x:v>F</x:v>
      </x:c>
      <x:c r="D32" s="45" t="str">
        <x:v>F02</x:v>
      </x:c>
      <x:c r="E32" s="47" t="str">
        <x:v>工单校验、编辑和打印</x:v>
      </x:c>
      <x:c r="F32" s="47" t="str">
        <x:v>RD</x:v>
      </x:c>
      <x:c r="G32" s="48" t="str">
        <x:v>F01 工单草稿</x:v>
      </x:c>
      <x:c r="H32" s="49" t="str">
        <x:v>未开始</x:v>
      </x:c>
      <x:c r="I32" s="49" t="str"/>
      <x:c r="J32" s="51"/>
      <x:c r="K32" s="51"/>
      <x:c r="L32" s="50" t="str"/>
      <x:c r="M32" s="50" t="str"/>
      <x:c r="N32" s="50" t="str"/>
      <x:c r="O32" s="49" t="str">
        <x:v>不适用</x:v>
      </x:c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42" customHeight="1">
      <x:c r="A33" s="45" t="n">
        <x:v>27</x:v>
      </x:c>
      <x:c r="B33" s="45" t="str">
        <x:v>主流程</x:v>
      </x:c>
      <x:c r="C33" s="45" t="str">
        <x:v>F</x:v>
      </x:c>
      <x:c r="D33" s="45" t="str">
        <x:v>F03</x:v>
      </x:c>
      <x:c r="E33" s="47" t="str">
        <x:v>提交审批和候选人签收</x:v>
      </x:c>
      <x:c r="F33" s="47" t="str">
        <x:v>RD、APPROVER</x:v>
      </x:c>
      <x:c r="G33" s="48" t="str">
        <x:v>F01 工单；A06 工单审批流程及审批人</x:v>
      </x:c>
      <x:c r="H33" s="49" t="str">
        <x:v>未开始</x:v>
      </x:c>
      <x:c r="I33" s="49" t="str"/>
      <x:c r="J33" s="51"/>
      <x:c r="K33" s="51"/>
      <x:c r="L33" s="50" t="str"/>
      <x:c r="M33" s="50" t="str"/>
      <x:c r="N33" s="50" t="str"/>
      <x:c r="O33" s="49" t="str">
        <x:v>不适用</x:v>
      </x:c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42" customHeight="1">
      <x:c r="A34" s="45" t="n">
        <x:v>28</x:v>
      </x:c>
      <x:c r="B34" s="45" t="str">
        <x:v>主流程</x:v>
      </x:c>
      <x:c r="C34" s="45" t="str">
        <x:v>F</x:v>
      </x:c>
      <x:c r="D34" s="45" t="str">
        <x:v>F04</x:v>
      </x:c>
      <x:c r="E34" s="47" t="str">
        <x:v>工单后的配方锁定</x:v>
      </x:c>
      <x:c r="F34" s="47" t="str">
        <x:v>RD</x:v>
      </x:c>
      <x:c r="G34" s="48" t="str">
        <x:v>F03 工单已提交审批或已发单；E01 配方</x:v>
      </x:c>
      <x:c r="H34" s="49" t="str">
        <x:v>未开始</x:v>
      </x:c>
      <x:c r="I34" s="49" t="str"/>
      <x:c r="J34" s="51"/>
      <x:c r="K34" s="51"/>
      <x:c r="L34" s="50" t="str"/>
      <x:c r="M34" s="50" t="str"/>
      <x:c r="N34" s="50" t="str"/>
      <x:c r="O34" s="49" t="str">
        <x:v>不适用</x:v>
      </x:c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42" customHeight="1">
      <x:c r="A35" s="45" t="n">
        <x:v>29</x:v>
      </x:c>
      <x:c r="B35" s="45" t="str">
        <x:v>主流程</x:v>
      </x:c>
      <x:c r="C35" s="45" t="str">
        <x:v>F</x:v>
      </x:c>
      <x:c r="D35" s="45" t="str">
        <x:v>F05</x:v>
      </x:c>
      <x:c r="E35" s="47" t="str">
        <x:v>挤出排产</x:v>
      </x:c>
      <x:c r="F35" s="47" t="str">
        <x:v>PROCESS</x:v>
      </x:c>
      <x:c r="G35" s="48" t="str">
        <x:v>F03 已审批工单；挤出操作员</x:v>
      </x:c>
      <x:c r="H35" s="49" t="str">
        <x:v>未开始</x:v>
      </x:c>
      <x:c r="I35" s="49" t="str"/>
      <x:c r="J35" s="51"/>
      <x:c r="K35" s="51"/>
      <x:c r="L35" s="50" t="str"/>
      <x:c r="M35" s="50" t="str"/>
      <x:c r="N35" s="50" t="str"/>
      <x:c r="O35" s="49" t="str">
        <x:v>不适用</x:v>
      </x:c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42" customHeight="1">
      <x:c r="A36" s="45" t="n">
        <x:v>30</x:v>
      </x:c>
      <x:c r="B36" s="45" t="str">
        <x:v>主流程</x:v>
      </x:c>
      <x:c r="C36" s="45" t="str">
        <x:v>G</x:v>
      </x:c>
      <x:c r="D36" s="45" t="str">
        <x:v>G01</x:v>
      </x:c>
      <x:c r="E36" s="47" t="str">
        <x:v>配色任务联动</x:v>
      </x:c>
      <x:c r="F36" s="47" t="str">
        <x:v>COLOR</x:v>
      </x:c>
      <x:c r="G36" s="48" t="str">
        <x:v>F01 工单；E04 色粉 BOM</x:v>
      </x:c>
      <x:c r="H36" s="49" t="str">
        <x:v>未开始</x:v>
      </x:c>
      <x:c r="I36" s="49" t="str"/>
      <x:c r="J36" s="51"/>
      <x:c r="K36" s="51"/>
      <x:c r="L36" s="50" t="str"/>
      <x:c r="M36" s="50" t="str"/>
      <x:c r="N36" s="50" t="str"/>
      <x:c r="O36" s="49" t="str">
        <x:v>不适用</x:v>
      </x:c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42" customHeight="1">
      <x:c r="A37" s="45" t="n">
        <x:v>31</x:v>
      </x:c>
      <x:c r="B37" s="45" t="str">
        <x:v>主流程</x:v>
      </x:c>
      <x:c r="C37" s="45" t="str">
        <x:v>G</x:v>
      </x:c>
      <x:c r="D37" s="45" t="str">
        <x:v>G02</x:v>
      </x:c>
      <x:c r="E37" s="47" t="str">
        <x:v>开始挤出和锁定升级</x:v>
      </x:c>
      <x:c r="F37" s="47" t="str">
        <x:v>PROCESS</x:v>
      </x:c>
      <x:c r="G37" s="48" t="str">
        <x:v>F05 已排产挤出任务</x:v>
      </x:c>
      <x:c r="H37" s="49" t="str">
        <x:v>未开始</x:v>
      </x:c>
      <x:c r="I37" s="49" t="str"/>
      <x:c r="J37" s="51"/>
      <x:c r="K37" s="51"/>
      <x:c r="L37" s="50" t="str"/>
      <x:c r="M37" s="50" t="str"/>
      <x:c r="N37" s="50" t="str"/>
      <x:c r="O37" s="49" t="str">
        <x:v>不适用</x:v>
      </x:c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42" customHeight="1">
      <x:c r="A38" s="45" t="n">
        <x:v>32</x:v>
      </x:c>
      <x:c r="B38" s="45" t="str">
        <x:v>主流程</x:v>
      </x:c>
      <x:c r="C38" s="45" t="str">
        <x:v>G</x:v>
      </x:c>
      <x:c r="D38" s="45" t="str">
        <x:v>G03</x:v>
      </x:c>
      <x:c r="E38" s="47" t="str">
        <x:v>填写挤出记录</x:v>
      </x:c>
      <x:c r="F38" s="47" t="str">
        <x:v>PROCESS</x:v>
      </x:c>
      <x:c r="G38" s="48" t="str">
        <x:v>G02 已开始的挤出任务</x:v>
      </x:c>
      <x:c r="H38" s="49" t="str">
        <x:v>未开始</x:v>
      </x:c>
      <x:c r="I38" s="49" t="str"/>
      <x:c r="J38" s="51"/>
      <x:c r="K38" s="51"/>
      <x:c r="L38" s="50" t="str"/>
      <x:c r="M38" s="50" t="str"/>
      <x:c r="N38" s="50" t="str"/>
      <x:c r="O38" s="49" t="str">
        <x:v>不适用</x:v>
      </x:c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42" customHeight="1">
      <x:c r="A39" s="45" t="n">
        <x:v>33</x:v>
      </x:c>
      <x:c r="B39" s="45" t="str">
        <x:v>主流程</x:v>
      </x:c>
      <x:c r="C39" s="45" t="str">
        <x:v>G</x:v>
      </x:c>
      <x:c r="D39" s="45" t="str">
        <x:v>G04</x:v>
      </x:c>
      <x:c r="E39" s="47" t="str">
        <x:v>完成挤出和颗粒分拨</x:v>
      </x:c>
      <x:c r="F39" s="47" t="str">
        <x:v>PROCESS</x:v>
      </x:c>
      <x:c r="G39" s="48" t="str">
        <x:v>G03 完整挤出记录</x:v>
      </x:c>
      <x:c r="H39" s="49" t="str">
        <x:v>未开始</x:v>
      </x:c>
      <x:c r="I39" s="49" t="str"/>
      <x:c r="J39" s="51"/>
      <x:c r="K39" s="51"/>
      <x:c r="L39" s="50" t="str"/>
      <x:c r="M39" s="50" t="str"/>
      <x:c r="N39" s="50" t="str"/>
      <x:c r="O39" s="49" t="str">
        <x:v>不适用</x:v>
      </x:c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42" customHeight="1">
      <x:c r="A40" s="45" t="n">
        <x:v>34</x:v>
      </x:c>
      <x:c r="B40" s="45" t="str">
        <x:v>主流程</x:v>
      </x:c>
      <x:c r="C40" s="45" t="str">
        <x:v>G</x:v>
      </x:c>
      <x:c r="D40" s="45" t="str">
        <x:v>G05</x:v>
      </x:c>
      <x:c r="E40" s="47" t="str">
        <x:v>成品颗粒库存</x:v>
      </x:c>
      <x:c r="F40" s="47" t="str">
        <x:v>PROCESS</x:v>
      </x:c>
      <x:c r="G40" s="48" t="str">
        <x:v>G04 颗粒分拨结果</x:v>
      </x:c>
      <x:c r="H40" s="49" t="str">
        <x:v>未开始</x:v>
      </x:c>
      <x:c r="I40" s="49" t="str"/>
      <x:c r="J40" s="51"/>
      <x:c r="K40" s="51"/>
      <x:c r="L40" s="50" t="str"/>
      <x:c r="M40" s="50" t="str"/>
      <x:c r="N40" s="50" t="str"/>
      <x:c r="O40" s="49" t="str">
        <x:v>不适用</x:v>
      </x:c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42" customHeight="1">
      <x:c r="A41" s="45" t="n">
        <x:v>35</x:v>
      </x:c>
      <x:c r="B41" s="45" t="str">
        <x:v>主流程</x:v>
      </x:c>
      <x:c r="C41" s="45" t="str">
        <x:v>G</x:v>
      </x:c>
      <x:c r="D41" s="45" t="str">
        <x:v>G06</x:v>
      </x:c>
      <x:c r="E41" s="47" t="str">
        <x:v>开始注塑</x:v>
      </x:c>
      <x:c r="F41" s="47" t="str">
        <x:v>INJECTION</x:v>
      </x:c>
      <x:c r="G41" s="48" t="str">
        <x:v>G04 注塑用料；A11 可用模具</x:v>
      </x:c>
      <x:c r="H41" s="49" t="str">
        <x:v>未开始</x:v>
      </x:c>
      <x:c r="I41" s="49" t="str"/>
      <x:c r="J41" s="51"/>
      <x:c r="K41" s="51"/>
      <x:c r="L41" s="50" t="str"/>
      <x:c r="M41" s="50" t="str"/>
      <x:c r="N41" s="50" t="str"/>
      <x:c r="O41" s="49" t="str">
        <x:v>不适用</x:v>
      </x:c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42" customHeight="1">
      <x:c r="A42" s="45" t="n">
        <x:v>36</x:v>
      </x:c>
      <x:c r="B42" s="45" t="str">
        <x:v>主流程</x:v>
      </x:c>
      <x:c r="C42" s="45" t="str">
        <x:v>G</x:v>
      </x:c>
      <x:c r="D42" s="45" t="str">
        <x:v>G07</x:v>
      </x:c>
      <x:c r="E42" s="47" t="str">
        <x:v>完成注塑和生成样条</x:v>
      </x:c>
      <x:c r="F42" s="47" t="str">
        <x:v>INJECTION</x:v>
      </x:c>
      <x:c r="G42" s="48" t="str">
        <x:v>G06 已开始的注塑任务</x:v>
      </x:c>
      <x:c r="H42" s="49" t="str">
        <x:v>未开始</x:v>
      </x:c>
      <x:c r="I42" s="49" t="str"/>
      <x:c r="J42" s="51"/>
      <x:c r="K42" s="51"/>
      <x:c r="L42" s="50" t="str"/>
      <x:c r="M42" s="50" t="str"/>
      <x:c r="N42" s="50" t="str"/>
      <x:c r="O42" s="49" t="str">
        <x:v>不适用</x:v>
      </x:c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42" customHeight="1">
      <x:c r="A43" s="45" t="n">
        <x:v>37</x:v>
      </x:c>
      <x:c r="B43" s="45" t="str">
        <x:v>主流程</x:v>
      </x:c>
      <x:c r="C43" s="45" t="str">
        <x:v>G</x:v>
      </x:c>
      <x:c r="D43" s="45" t="str">
        <x:v>G08</x:v>
      </x:c>
      <x:c r="E43" s="47" t="str">
        <x:v>样条库存和测试任务关联</x:v>
      </x:c>
      <x:c r="F43" s="47" t="str">
        <x:v>TEST</x:v>
      </x:c>
      <x:c r="G43" s="48" t="str">
        <x:v>G07 样条批次与测试任务</x:v>
      </x:c>
      <x:c r="H43" s="49" t="str">
        <x:v>未开始</x:v>
      </x:c>
      <x:c r="I43" s="49" t="str"/>
      <x:c r="J43" s="51"/>
      <x:c r="K43" s="51"/>
      <x:c r="L43" s="50" t="str"/>
      <x:c r="M43" s="50" t="str"/>
      <x:c r="N43" s="50" t="str"/>
      <x:c r="O43" s="49" t="str">
        <x:v>不适用</x:v>
      </x:c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42" customHeight="1">
      <x:c r="A44" s="45" t="n">
        <x:v>38</x:v>
      </x:c>
      <x:c r="B44" s="45" t="str">
        <x:v>主流程</x:v>
      </x:c>
      <x:c r="C44" s="45" t="str">
        <x:v>G</x:v>
      </x:c>
      <x:c r="D44" s="45" t="str">
        <x:v>G09</x:v>
      </x:c>
      <x:c r="E44" s="47" t="str">
        <x:v>填写材料测试结果</x:v>
      </x:c>
      <x:c r="F44" s="47" t="str">
        <x:v>TEST</x:v>
      </x:c>
      <x:c r="G44" s="48" t="str">
        <x:v>G08 测试任务；测试人员账号</x:v>
      </x:c>
      <x:c r="H44" s="49" t="str">
        <x:v>未开始</x:v>
      </x:c>
      <x:c r="I44" s="49" t="str"/>
      <x:c r="J44" s="51"/>
      <x:c r="K44" s="51"/>
      <x:c r="L44" s="50" t="str"/>
      <x:c r="M44" s="50" t="str"/>
      <x:c r="N44" s="50" t="str"/>
      <x:c r="O44" s="49" t="str">
        <x:v>不适用</x:v>
      </x:c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42" customHeight="1">
      <x:c r="A45" s="45" t="n">
        <x:v>39</x:v>
      </x:c>
      <x:c r="B45" s="45" t="str">
        <x:v>主流程</x:v>
      </x:c>
      <x:c r="C45" s="45" t="str">
        <x:v>G</x:v>
      </x:c>
      <x:c r="D45" s="45" t="str">
        <x:v>G10</x:v>
      </x:c>
      <x:c r="E45" s="47" t="str">
        <x:v>回写配方</x:v>
      </x:c>
      <x:c r="F45" s="47" t="str">
        <x:v>TEST、RD</x:v>
      </x:c>
      <x:c r="G45" s="48" t="str">
        <x:v>G09 已填写测试结果</x:v>
      </x:c>
      <x:c r="H45" s="49" t="str">
        <x:v>未开始</x:v>
      </x:c>
      <x:c r="I45" s="49" t="str"/>
      <x:c r="J45" s="51"/>
      <x:c r="K45" s="51"/>
      <x:c r="L45" s="50" t="str"/>
      <x:c r="M45" s="50" t="str"/>
      <x:c r="N45" s="50" t="str"/>
      <x:c r="O45" s="49" t="str">
        <x:v>不适用</x:v>
      </x:c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42" customHeight="1">
      <x:c r="A46" s="45" t="n">
        <x:v>40</x:v>
      </x:c>
      <x:c r="B46" s="45" t="str">
        <x:v>主流程</x:v>
      </x:c>
      <x:c r="C46" s="45" t="str">
        <x:v>G</x:v>
      </x:c>
      <x:c r="D46" s="45" t="str">
        <x:v>G11</x:v>
      </x:c>
      <x:c r="E46" s="47" t="str">
        <x:v>工单完成和全链路追溯</x:v>
      </x:c>
      <x:c r="F46" s="47" t="str">
        <x:v>RD</x:v>
      </x:c>
      <x:c r="G46" s="48" t="str">
        <x:v>G10 已回写结果；F01 工单</x:v>
      </x:c>
      <x:c r="H46" s="49" t="str">
        <x:v>未开始</x:v>
      </x:c>
      <x:c r="I46" s="49" t="str"/>
      <x:c r="J46" s="51"/>
      <x:c r="K46" s="51"/>
      <x:c r="L46" s="50" t="str"/>
      <x:c r="M46" s="50" t="str"/>
      <x:c r="N46" s="50" t="str"/>
      <x:c r="O46" s="49" t="str">
        <x:v>不适用</x:v>
      </x:c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42" customHeight="1">
      <x:c r="A47" s="45" t="n">
        <x:v>41</x:v>
      </x:c>
      <x:c r="B47" s="45" t="str">
        <x:v>主流程</x:v>
      </x:c>
      <x:c r="C47" s="45" t="str">
        <x:v>H</x:v>
      </x:c>
      <x:c r="D47" s="45" t="str">
        <x:v>H01</x:v>
      </x:c>
      <x:c r="E47" s="47" t="str">
        <x:v>项目节点完成和绩效</x:v>
      </x:c>
      <x:c r="F47" s="47" t="str">
        <x:v>RD、APPROVER</x:v>
      </x:c>
      <x:c r="G47" s="48" t="str">
        <x:v>G11 主流程完成；D05 当前项目节点</x:v>
      </x:c>
      <x:c r="H47" s="49" t="str">
        <x:v>未开始</x:v>
      </x:c>
      <x:c r="I47" s="49" t="str"/>
      <x:c r="J47" s="51"/>
      <x:c r="K47" s="51"/>
      <x:c r="L47" s="50" t="str"/>
      <x:c r="M47" s="50" t="str"/>
      <x:c r="N47" s="50" t="str"/>
      <x:c r="O47" s="49" t="str">
        <x:v>不适用</x:v>
      </x:c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42" customHeight="1">
      <x:c r="A48" s="45" t="n">
        <x:v>42</x:v>
      </x:c>
      <x:c r="B48" s="45" t="str">
        <x:v>主流程</x:v>
      </x:c>
      <x:c r="C48" s="45" t="str">
        <x:v>H</x:v>
      </x:c>
      <x:c r="D48" s="45" t="str">
        <x:v>H02</x:v>
      </x:c>
      <x:c r="E48" s="47" t="str">
        <x:v>项目报告和附件</x:v>
      </x:c>
      <x:c r="F48" s="47" t="str">
        <x:v>RD</x:v>
      </x:c>
      <x:c r="G48" s="48" t="str">
        <x:v>H01 项目节点数据；项目附件</x:v>
      </x:c>
      <x:c r="H48" s="49" t="str">
        <x:v>未开始</x:v>
      </x:c>
      <x:c r="I48" s="49" t="str"/>
      <x:c r="J48" s="51"/>
      <x:c r="K48" s="51"/>
      <x:c r="L48" s="50" t="str"/>
      <x:c r="M48" s="50" t="str"/>
      <x:c r="N48" s="50" t="str"/>
      <x:c r="O48" s="49" t="str">
        <x:v>不适用</x:v>
      </x:c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42" customHeight="1">
      <x:c r="A49" s="45" t="n">
        <x:v>43</x:v>
      </x:c>
      <x:c r="B49" s="45" t="str">
        <x:v>主流程</x:v>
      </x:c>
      <x:c r="C49" s="45" t="str">
        <x:v>H</x:v>
      </x:c>
      <x:c r="D49" s="45" t="str">
        <x:v>H03</x:v>
      </x:c>
      <x:c r="E49" s="47" t="str">
        <x:v>发布成品材料</x:v>
      </x:c>
      <x:c r="F49" s="47" t="str">
        <x:v>RD 或材料发布人员</x:v>
      </x:c>
      <x:c r="G49" s="48" t="str">
        <x:v>G10 代表性测试结果；C01 成品材料</x:v>
      </x:c>
      <x:c r="H49" s="49" t="str">
        <x:v>未开始</x:v>
      </x:c>
      <x:c r="I49" s="49" t="str"/>
      <x:c r="J49" s="51"/>
      <x:c r="K49" s="51"/>
      <x:c r="L49" s="50" t="str"/>
      <x:c r="M49" s="50" t="str"/>
      <x:c r="N49" s="50" t="str"/>
      <x:c r="O49" s="49" t="str">
        <x:v>不适用</x:v>
      </x:c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42" customHeight="1">
      <x:c r="A50" s="45" t="n">
        <x:v>44</x:v>
      </x:c>
      <x:c r="B50" s="45" t="str">
        <x:v>主流程</x:v>
      </x:c>
      <x:c r="C50" s="45" t="str">
        <x:v>H</x:v>
      </x:c>
      <x:c r="D50" s="45" t="str">
        <x:v>H04</x:v>
      </x:c>
      <x:c r="E50" s="47" t="str">
        <x:v>产品电子手册公开和会员视图</x:v>
      </x:c>
      <x:c r="F50" s="47" t="str">
        <x:v>未登录访客、MEMBER</x:v>
      </x:c>
      <x:c r="G50" s="48" t="str">
        <x:v>H03 已发布成品材料；会员账号</x:v>
      </x:c>
      <x:c r="H50" s="49" t="str">
        <x:v>未开始</x:v>
      </x:c>
      <x:c r="I50" s="49" t="str"/>
      <x:c r="J50" s="51"/>
      <x:c r="K50" s="51"/>
      <x:c r="L50" s="50" t="str"/>
      <x:c r="M50" s="50" t="str"/>
      <x:c r="N50" s="50" t="str"/>
      <x:c r="O50" s="49" t="str">
        <x:v>不适用</x:v>
      </x:c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42" customHeight="1">
      <x:c r="A51" s="45" t="n">
        <x:v>45</x:v>
      </x:c>
      <x:c r="B51" s="45" t="str">
        <x:v>主流程</x:v>
      </x:c>
      <x:c r="C51" s="45" t="str">
        <x:v>H</x:v>
      </x:c>
      <x:c r="D51" s="45" t="str">
        <x:v>H05</x:v>
      </x:c>
      <x:c r="E51" s="47" t="str">
        <x:v>看板、统计和客户行为</x:v>
      </x:c>
      <x:c r="F51" s="47" t="str">
        <x:v>RD、SALES、ADMIN</x:v>
      </x:c>
      <x:c r="G51" s="48" t="str">
        <x:v>H04 产品浏览/下载记录；主流程项目和工单</x:v>
      </x:c>
      <x:c r="H51" s="49" t="str">
        <x:v>未开始</x:v>
      </x:c>
      <x:c r="I51" s="49" t="str"/>
      <x:c r="J51" s="51"/>
      <x:c r="K51" s="51"/>
      <x:c r="L51" s="50" t="str"/>
      <x:c r="M51" s="50" t="str"/>
      <x:c r="N51" s="50" t="str"/>
      <x:c r="O51" s="49" t="str">
        <x:v>不适用</x:v>
      </x:c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42" customHeight="1">
      <x:c r="A52" s="45" t="n">
        <x:v>46</x:v>
      </x:c>
      <x:c r="B52" s="45" t="str">
        <x:v>主流程</x:v>
      </x:c>
      <x:c r="C52" s="45" t="str">
        <x:v>H</x:v>
      </x:c>
      <x:c r="D52" s="45" t="str">
        <x:v>H06</x:v>
      </x:c>
      <x:c r="E52" s="47" t="str">
        <x:v>通知、已读和业务落地页</x:v>
      </x:c>
      <x:c r="F52" s="47" t="str">
        <x:v>所有参与账号</x:v>
      </x:c>
      <x:c r="G52" s="48" t="str">
        <x:v>D07、F03 及生产任务产生的通知</x:v>
      </x:c>
      <x:c r="H52" s="49" t="str">
        <x:v>未开始</x:v>
      </x:c>
      <x:c r="I52" s="49" t="str"/>
      <x:c r="J52" s="51"/>
      <x:c r="K52" s="51"/>
      <x:c r="L52" s="50" t="str"/>
      <x:c r="M52" s="50" t="str"/>
      <x:c r="N52" s="50" t="str"/>
      <x:c r="O52" s="49" t="str">
        <x:v>不适用</x:v>
      </x:c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42" customHeight="1">
      <x:c r="A53" s="45" t="n">
        <x:v>47</x:v>
      </x:c>
      <x:c r="B53" s="45" t="str">
        <x:v>扩展流程</x:v>
      </x:c>
      <x:c r="C53" s="45" t="str">
        <x:v>I</x:v>
      </x:c>
      <x:c r="D53" s="45" t="str">
        <x:v>I01</x:v>
      </x:c>
      <x:c r="E53" s="47" t="str">
        <x:v>项目异常和迭代节点</x:v>
      </x:c>
      <x:c r="F53" s="47" t="str">
        <x:v>RD</x:v>
      </x:c>
      <x:c r="G53" s="48" t="str">
        <x:v>新建独立的 批次号-异常迭代项目，不要使用主流程项目。</x:v>
      </x:c>
      <x:c r="H53" s="49" t="str">
        <x:v>未开始</x:v>
      </x:c>
      <x:c r="I53" s="49" t="str"/>
      <x:c r="J53" s="51"/>
      <x:c r="K53" s="51"/>
      <x:c r="L53" s="50" t="str"/>
      <x:c r="M53" s="50" t="str"/>
      <x:c r="N53" s="50" t="str"/>
      <x:c r="O53" s="49" t="str">
        <x:v>不适用</x:v>
      </x:c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42" customHeight="1">
      <x:c r="A54" s="45" t="n">
        <x:v>48</x:v>
      </x:c>
      <x:c r="B54" s="45" t="str">
        <x:v>扩展流程</x:v>
      </x:c>
      <x:c r="C54" s="45" t="str">
        <x:v>I</x:v>
      </x:c>
      <x:c r="D54" s="45" t="str">
        <x:v>I02</x:v>
      </x:c>
      <x:c r="E54" s="47" t="str">
        <x:v>基础预研失败迭代</x:v>
      </x:c>
      <x:c r="F54" s="47" t="str">
        <x:v>RD</x:v>
      </x:c>
      <x:c r="G54" s="48" t="str">
        <x:v>D01 基础预研项目</x:v>
      </x:c>
      <x:c r="H54" s="49" t="str">
        <x:v>未开始</x:v>
      </x:c>
      <x:c r="I54" s="49" t="str"/>
      <x:c r="J54" s="51"/>
      <x:c r="K54" s="51"/>
      <x:c r="L54" s="50" t="str"/>
      <x:c r="M54" s="50" t="str"/>
      <x:c r="N54" s="50" t="str"/>
      <x:c r="O54" s="49" t="str">
        <x:v>不适用</x:v>
      </x:c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42" customHeight="1">
      <x:c r="A55" s="45" t="n">
        <x:v>49</x:v>
      </x:c>
      <x:c r="B55" s="45" t="str">
        <x:v>扩展流程</x:v>
      </x:c>
      <x:c r="C55" s="45" t="str">
        <x:v>I</x:v>
      </x:c>
      <x:c r="D55" s="45" t="str">
        <x:v>I03</x:v>
      </x:c>
      <x:c r="E55" s="47" t="str">
        <x:v>客户竞品流程</x:v>
      </x:c>
      <x:c r="F55" s="47" t="str">
        <x:v>RD、INJECTION、TEST</x:v>
      </x:c>
      <x:c r="G55" s="48" t="str">
        <x:v>专用竞品项目；B01 客户；A11 模具；A05 测试项目</x:v>
      </x:c>
      <x:c r="H55" s="49" t="str">
        <x:v>未开始</x:v>
      </x:c>
      <x:c r="I55" s="49" t="str"/>
      <x:c r="J55" s="51"/>
      <x:c r="K55" s="51"/>
      <x:c r="L55" s="50" t="str"/>
      <x:c r="M55" s="50" t="str"/>
      <x:c r="N55" s="50" t="str"/>
      <x:c r="O55" s="49" t="str">
        <x:v>不适用</x:v>
      </x:c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42" customHeight="1">
      <x:c r="A56" s="45" t="n">
        <x:v>50</x:v>
      </x:c>
      <x:c r="B56" s="45" t="str">
        <x:v>扩展流程</x:v>
      </x:c>
      <x:c r="C56" s="45" t="str">
        <x:v>I</x:v>
      </x:c>
      <x:c r="D56" s="45" t="str">
        <x:v>I04</x:v>
      </x:c>
      <x:c r="E56" s="47" t="str">
        <x:v>项目信息编辑审批拒绝</x:v>
      </x:c>
      <x:c r="F56" s="47" t="str">
        <x:v>RD、APPROVER</x:v>
      </x:c>
      <x:c r="G56" s="48" t="str">
        <x:v>独立测试项目；A06 审批人</x:v>
      </x:c>
      <x:c r="H56" s="49" t="str">
        <x:v>未开始</x:v>
      </x:c>
      <x:c r="I56" s="49" t="str"/>
      <x:c r="J56" s="51"/>
      <x:c r="K56" s="51"/>
      <x:c r="L56" s="50" t="str"/>
      <x:c r="M56" s="50" t="str"/>
      <x:c r="N56" s="50" t="str"/>
      <x:c r="O56" s="49" t="str">
        <x:v>不适用</x:v>
      </x:c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42" customHeight="1">
      <x:c r="A57" s="45" t="n">
        <x:v>51</x:v>
      </x:c>
      <x:c r="B57" s="45" t="str">
        <x:v>扩展流程</x:v>
      </x:c>
      <x:c r="C57" s="45" t="str">
        <x:v>I</x:v>
      </x:c>
      <x:c r="D57" s="45" t="str">
        <x:v>I05</x:v>
      </x:c>
      <x:c r="E57" s="47" t="str">
        <x:v>流程任务转交</x:v>
      </x:c>
      <x:c r="F57" s="47" t="str">
        <x:v>两个审批账号</x:v>
      </x:c>
      <x:c r="G57" s="48" t="str">
        <x:v>创建一条专用测试表单审批实例。</x:v>
      </x:c>
      <x:c r="H57" s="49" t="str">
        <x:v>未开始</x:v>
      </x:c>
      <x:c r="I57" s="49" t="str"/>
      <x:c r="J57" s="51"/>
      <x:c r="K57" s="51"/>
      <x:c r="L57" s="50" t="str"/>
      <x:c r="M57" s="50" t="str"/>
      <x:c r="N57" s="50" t="str"/>
      <x:c r="O57" s="49" t="str">
        <x:v>不适用</x:v>
      </x:c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42" customHeight="1">
      <x:c r="A58" s="45" t="n">
        <x:v>52</x:v>
      </x:c>
      <x:c r="B58" s="45" t="str">
        <x:v>异常与安全</x:v>
      </x:c>
      <x:c r="C58" s="45" t="str">
        <x:v>J</x:v>
      </x:c>
      <x:c r="D58" s="45" t="str">
        <x:v>J01</x:v>
      </x:c>
      <x:c r="E58" s="47" t="str">
        <x:v>必填和数据类型校验</x:v>
      </x:c>
      <x:c r="F58" s="47" t="str">
        <x:v>按模块权限执行</x:v>
      </x:c>
      <x:c r="G58" s="48" t="str">
        <x:v>阶段 B–G 的新增/编辑页面</x:v>
      </x:c>
      <x:c r="H58" s="49" t="str">
        <x:v>未开始</x:v>
      </x:c>
      <x:c r="I58" s="49" t="str"/>
      <x:c r="J58" s="51"/>
      <x:c r="K58" s="51"/>
      <x:c r="L58" s="50" t="str"/>
      <x:c r="M58" s="50" t="str"/>
      <x:c r="N58" s="50" t="str"/>
      <x:c r="O58" s="49" t="str">
        <x:v>不适用</x:v>
      </x:c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42" customHeight="1">
      <x:c r="A59" s="45" t="n">
        <x:v>53</x:v>
      </x:c>
      <x:c r="B59" s="45" t="str">
        <x:v>异常与安全</x:v>
      </x:c>
      <x:c r="C59" s="45" t="str">
        <x:v>J</x:v>
      </x:c>
      <x:c r="D59" s="45" t="str">
        <x:v>J02</x:v>
      </x:c>
      <x:c r="E59" s="47" t="str">
        <x:v>重复和唯一性校验</x:v>
      </x:c>
      <x:c r="F59" s="47" t="str">
        <x:v>按模块权限执行</x:v>
      </x:c>
      <x:c r="G59" s="48" t="str">
        <x:v>已存在的项目编码、物料编码和实验单号</x:v>
      </x:c>
      <x:c r="H59" s="49" t="str">
        <x:v>未开始</x:v>
      </x:c>
      <x:c r="I59" s="49" t="str"/>
      <x:c r="J59" s="51"/>
      <x:c r="K59" s="51"/>
      <x:c r="L59" s="50" t="str"/>
      <x:c r="M59" s="50" t="str"/>
      <x:c r="N59" s="50" t="str"/>
      <x:c r="O59" s="49" t="str">
        <x:v>不适用</x:v>
      </x:c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42" customHeight="1">
      <x:c r="A60" s="45" t="n">
        <x:v>54</x:v>
      </x:c>
      <x:c r="B60" s="45" t="str">
        <x:v>异常与安全</x:v>
      </x:c>
      <x:c r="C60" s="45" t="str">
        <x:v>J</x:v>
      </x:c>
      <x:c r="D60" s="45" t="str">
        <x:v>J03</x:v>
      </x:c>
      <x:c r="E60" s="47" t="str">
        <x:v>缺少前置数据</x:v>
      </x:c>
      <x:c r="F60" s="47" t="str">
        <x:v>按模块权限执行</x:v>
      </x:c>
      <x:c r="G60" s="48" t="str">
        <x:v>无价格原材料；缺少模具/测试项目的专用工单</x:v>
      </x:c>
      <x:c r="H60" s="49" t="str">
        <x:v>未开始</x:v>
      </x:c>
      <x:c r="I60" s="49" t="str"/>
      <x:c r="J60" s="51"/>
      <x:c r="K60" s="51"/>
      <x:c r="L60" s="50" t="str"/>
      <x:c r="M60" s="50" t="str"/>
      <x:c r="N60" s="50" t="str"/>
      <x:c r="O60" s="49" t="str">
        <x:v>不适用</x:v>
      </x:c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42" customHeight="1">
      <x:c r="A61" s="45" t="n">
        <x:v>55</x:v>
      </x:c>
      <x:c r="B61" s="45" t="str">
        <x:v>异常与安全</x:v>
      </x:c>
      <x:c r="C61" s="45" t="str">
        <x:v>J</x:v>
      </x:c>
      <x:c r="D61" s="45" t="str">
        <x:v>J04</x:v>
      </x:c>
      <x:c r="E61" s="47" t="str">
        <x:v>锁定和引用保护</x:v>
      </x:c>
      <x:c r="F61" s="47" t="str">
        <x:v>按模块权限执行</x:v>
      </x:c>
      <x:c r="G61" s="48" t="str">
        <x:v>已被工单引用的配方、原材料和模具</x:v>
      </x:c>
      <x:c r="H61" s="49" t="str">
        <x:v>未开始</x:v>
      </x:c>
      <x:c r="I61" s="49" t="str"/>
      <x:c r="J61" s="51"/>
      <x:c r="K61" s="51"/>
      <x:c r="L61" s="50" t="str"/>
      <x:c r="M61" s="50" t="str"/>
      <x:c r="N61" s="50" t="str"/>
      <x:c r="O61" s="49" t="str">
        <x:v>不适用</x:v>
      </x:c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42" customHeight="1">
      <x:c r="A62" s="45" t="n">
        <x:v>56</x:v>
      </x:c>
      <x:c r="B62" s="45" t="str">
        <x:v>异常与安全</x:v>
      </x:c>
      <x:c r="C62" s="45" t="str">
        <x:v>J</x:v>
      </x:c>
      <x:c r="D62" s="45" t="str">
        <x:v>J05</x:v>
      </x:c>
      <x:c r="E62" s="47" t="str">
        <x:v>账号隔离和直接访问</x:v>
      </x:c>
      <x:c r="F62" s="47" t="str">
        <x:v>按模块权限执行</x:v>
      </x:c>
      <x:c r="G62" s="48" t="str">
        <x:v>ADMIN、RD、VIEWER 三类账号及受限业务对象</x:v>
      </x:c>
      <x:c r="H62" s="49" t="str">
        <x:v>未开始</x:v>
      </x:c>
      <x:c r="I62" s="49" t="str"/>
      <x:c r="J62" s="51"/>
      <x:c r="K62" s="51"/>
      <x:c r="L62" s="50" t="str"/>
      <x:c r="M62" s="50" t="str"/>
      <x:c r="N62" s="50" t="str"/>
      <x:c r="O62" s="49" t="str">
        <x:v>不适用</x:v>
      </x:c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42" customHeight="1">
      <x:c r="A63" s="45" t="n">
        <x:v>57</x:v>
      </x:c>
      <x:c r="B63" s="45" t="str">
        <x:v>异常与安全</x:v>
      </x:c>
      <x:c r="C63" s="45" t="str">
        <x:v>J</x:v>
      </x:c>
      <x:c r="D63" s="45" t="str">
        <x:v>J06</x:v>
      </x:c>
      <x:c r="E63" s="47" t="str">
        <x:v>会话和密码</x:v>
      </x:c>
      <x:c r="F63" s="47" t="str">
        <x:v>专用测试账号</x:v>
      </x:c>
      <x:c r="G63" s="48" t="str">
        <x:v>专用测试账号及原密码</x:v>
      </x:c>
      <x:c r="H63" s="49" t="str">
        <x:v>未开始</x:v>
      </x:c>
      <x:c r="I63" s="49" t="str"/>
      <x:c r="J63" s="51"/>
      <x:c r="K63" s="51"/>
      <x:c r="L63" s="50" t="str"/>
      <x:c r="M63" s="50" t="str"/>
      <x:c r="N63" s="50" t="str"/>
      <x:c r="O63" s="49" t="str">
        <x:v>不适用</x:v>
      </x:c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42" customHeight="1">
      <x:c r="A64" s="45" t="n">
        <x:v>58</x:v>
      </x:c>
      <x:c r="B64" s="45" t="str">
        <x:v>受控高风险</x:v>
      </x:c>
      <x:c r="C64" s="45" t="str">
        <x:v>K</x:v>
      </x:c>
      <x:c r="D64" s="45" t="str">
        <x:v>K01</x:v>
      </x:c>
      <x:c r="E64" s="47" t="str">
        <x:v>SAP 入库</x:v>
      </x:c>
      <x:c r="F64" s="47" t="str">
        <x:v>PROCESS、库存负责人</x:v>
      </x:c>
      <x:c r="G64" s="48" t="str">
        <x:v>测试环境授权；专用 SAP 物料号、批次和库位；G05 库存</x:v>
      </x:c>
      <x:c r="H64" s="49" t="str">
        <x:v>未开始</x:v>
      </x:c>
      <x:c r="I64" s="49" t="str"/>
      <x:c r="J64" s="51"/>
      <x:c r="K64" s="51"/>
      <x:c r="L64" s="50" t="str"/>
      <x:c r="M64" s="50" t="str"/>
      <x:c r="N64" s="50" t="str"/>
      <x:c r="O64" s="49" t="str">
        <x:v>不适用</x:v>
      </x:c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42" customHeight="1">
      <x:c r="A65" s="45" t="n">
        <x:v>59</x:v>
      </x:c>
      <x:c r="B65" s="45" t="str">
        <x:v>受控高风险</x:v>
      </x:c>
      <x:c r="C65" s="45" t="str">
        <x:v>K</x:v>
      </x:c>
      <x:c r="D65" s="45" t="str">
        <x:v>K02</x:v>
      </x:c>
      <x:c r="E65" s="47" t="str">
        <x:v>手动完成并回写</x:v>
      </x:c>
      <x:c r="F65" s="47" t="str">
        <x:v>TEST、RD</x:v>
      </x:c>
      <x:c r="G65" s="48" t="str">
        <x:v>使用独立测试工单，故意保留一个非关键测试项为空。</x:v>
      </x:c>
      <x:c r="H65" s="49" t="str">
        <x:v>未开始</x:v>
      </x:c>
      <x:c r="I65" s="49" t="str"/>
      <x:c r="J65" s="51"/>
      <x:c r="K65" s="51"/>
      <x:c r="L65" s="50" t="str"/>
      <x:c r="M65" s="50" t="str"/>
      <x:c r="N65" s="50" t="str"/>
      <x:c r="O65" s="49" t="str">
        <x:v>不适用</x:v>
      </x:c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42" customHeight="1">
      <x:c r="A66" s="45" t="n">
        <x:v>60</x:v>
      </x:c>
      <x:c r="B66" s="45" t="str">
        <x:v>受控高风险</x:v>
      </x:c>
      <x:c r="C66" s="45" t="str">
        <x:v>K</x:v>
      </x:c>
      <x:c r="D66" s="45" t="str">
        <x:v>K03</x:v>
      </x:c>
      <x:c r="E66" s="47" t="str">
        <x:v>项目终止</x:v>
      </x:c>
      <x:c r="F66" s="47" t="str">
        <x:v>RD、APPROVER</x:v>
      </x:c>
      <x:c r="G66" s="48" t="str">
        <x:v>只使用 批次号-终止验证项目。</x:v>
      </x:c>
      <x:c r="H66" s="49" t="str">
        <x:v>未开始</x:v>
      </x:c>
      <x:c r="I66" s="49" t="str"/>
      <x:c r="J66" s="51"/>
      <x:c r="K66" s="51"/>
      <x:c r="L66" s="50" t="str"/>
      <x:c r="M66" s="50" t="str"/>
      <x:c r="N66" s="50" t="str"/>
      <x:c r="O66" s="49" t="str">
        <x:v>不适用</x:v>
      </x:c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42" customHeight="1">
      <x:c r="A67" s="45" t="n">
        <x:v>61</x:v>
      </x:c>
      <x:c r="B67" s="45" t="str">
        <x:v>受控高风险</x:v>
      </x:c>
      <x:c r="C67" s="45" t="str">
        <x:v>K</x:v>
      </x:c>
      <x:c r="D67" s="45" t="str">
        <x:v>K04</x:v>
      </x:c>
      <x:c r="E67" s="47" t="str">
        <x:v>删除测试草稿和附件</x:v>
      </x:c>
      <x:c r="F67" s="47" t="str">
        <x:v>ADMIN、数据负责人</x:v>
      </x:c>
      <x:c r="G67" s="48" t="str">
        <x:v>对象名称带当前批次号，且确认未被正式流程引用。</x:v>
      </x:c>
      <x:c r="H67" s="49" t="str">
        <x:v>未开始</x:v>
      </x:c>
      <x:c r="I67" s="49" t="str"/>
      <x:c r="J67" s="51"/>
      <x:c r="K67" s="51"/>
      <x:c r="L67" s="50" t="str"/>
      <x:c r="M67" s="50" t="str"/>
      <x:c r="N67" s="50" t="str"/>
      <x:c r="O67" s="49" t="str">
        <x:v>不适用</x:v>
      </x:c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2:O2"/>
    <x:mergeCell ref="A3:O3"/>
  </x:mergeCells>
  <x:conditionalFormatting sqref="H7:H67">
    <x:cfRule type="containsText" dxfId="0" priority="1" operator="containsText" text="通过"/>
    <x:cfRule type="containsText" dxfId="1" priority="2" operator="containsText" text="进行中"/>
    <x:cfRule type="containsText" dxfId="2" priority="3" operator="containsText" text="失败"/>
    <x:cfRule type="containsText" dxfId="3" priority="4" operator="containsText" text="阻塞"/>
    <x:cfRule type="containsText" dxfId="4" priority="5" operator="containsText" text="未开始"/>
    <x:cfRule type="containsText" dxfId="5" priority="6" operator="containsText" text="不适用"/>
  </x:conditionalFormatting>
  <x:conditionalFormatting sqref="O7:O67">
    <x:cfRule type="containsText" dxfId="6" priority="7" operator="containsText" text="复测通过"/>
    <x:cfRule type="containsText" dxfId="7" priority="8" operator="containsText" text="复测失败"/>
    <x:cfRule type="containsText" dxfId="8" priority="9" operator="containsText" text="待复测"/>
  </x:conditionalFormatting>
  <x:dataValidations count="2">
    <x:dataValidation type="list" sqref="H7:H67">
      <x:formula1>"未开始,进行中,通过,失败,阻塞,不适用"</x:formula1>
    </x:dataValidation>
    <x:dataValidation type="list" sqref="O7:O67">
      <x:formula1>"不适用,待复测,复测通过,复测失败"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b8fd08c34146ae"/>
  </x:tableParts>
</x:worksheet>
</file>

<file path=xl/worksheets/sheet3.xml><?xml version="1.0" encoding="utf-8"?>
<x:worksheet xmlns:x="http://schemas.openxmlformats.org/spreadsheetml/2006/main">
  <x:sheetPr>
    <x:tabColor rgb="FF557C72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7" hidden="0" customWidth="1"/>
    <x:col min="2" max="2" width="25" hidden="0" customWidth="1"/>
    <x:col min="3" max="3" width="11" hidden="0" customWidth="1"/>
    <x:col min="4" max="4" width="23" hidden="0" customWidth="1"/>
    <x:col min="5" max="5" width="19" hidden="0" customWidth="1"/>
    <x:col min="6" max="6" width="38" hidden="0" customWidth="1"/>
    <x:col min="7" max="7" width="60" hidden="0" customWidth="1"/>
    <x:col min="8" max="8" width="50" hidden="0" customWidth="1"/>
    <x:col min="9" max="9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7" customHeight="1">
      <x:c r="A2" s="3" t="str">
        <x:v>任务操作详情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6" customHeight="1">
      <x:c r="A3" s="4" t="str">
        <x:v>使用任务编号筛选。完成操作后返回“任务清单”填写执行状态、结果和证据。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4" customHeight="1">
      <x:c r="A6" s="43" t="str">
        <x:v>序号</x:v>
      </x:c>
      <x:c r="B6" s="43" t="str">
        <x:v>阶段</x:v>
      </x:c>
      <x:c r="C6" s="43" t="str">
        <x:v>任务编号</x:v>
      </x:c>
      <x:c r="D6" s="43" t="str">
        <x:v>任务名称</x:v>
      </x:c>
      <x:c r="E6" s="43" t="str">
        <x:v>执行角色</x:v>
      </x:c>
      <x:c r="F6" s="43" t="str">
        <x:v>操作入口</x:v>
      </x:c>
      <x:c r="G6" s="43" t="str">
        <x:v>操作步骤</x:v>
      </x:c>
      <x:c r="H6" s="43" t="str">
        <x:v>预期结果</x:v>
      </x:c>
      <x:c r="I6" s="43" t="str">
        <x:v>输出数据/证据要求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65" customHeight="1">
      <x:c r="A7" s="45" t="n">
        <x:v>1</x:v>
      </x:c>
      <x:c r="B7" s="45" t="str">
        <x:v>A 执行准备与系统前置数据</x:v>
      </x:c>
      <x:c r="C7" s="45" t="str">
        <x:v>A01</x:v>
      </x:c>
      <x:c r="D7" s="47" t="str">
        <x:v>登录和首次检查</x:v>
      </x:c>
      <x:c r="E7" s="47" t="str">
        <x:v>所有内部账号</x:v>
      </x:c>
      <x:c r="F7" s="48" t="str">
        <x:v>打开管理员提供的系统地址。</x:v>
      </x:c>
      <x:c r="G7" s="48" t="str">
        <x:v>1. 输入邮箱、密码和图形验证码。
2. 登录后确认进入首页。
3. 点击右上角头像/用户名进入“个人中心”。
4. 核对姓名、邮箱、子公司/基地、部门、工作组、角色和用户组。
5. 返回首页，打开左侧导航和右上角通知铃铛。</x:v>
      </x:c>
      <x:c r="H7" s="48" t="str">
        <x:v>登录成功；个人资料和组织归属正确；菜单与账号职责匹配；通知只能看到当前账号的数据。</x:v>
      </x:c>
      <x:c r="I7" s="48" t="str">
        <x:v>证据：个人中心截图、左侧菜单截图。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78" customHeight="1">
      <x:c r="A8" s="45" t="n">
        <x:v>2</x:v>
      </x:c>
      <x:c r="B8" s="45" t="str">
        <x:v>A 执行准备与系统前置数据</x:v>
      </x:c>
      <x:c r="C8" s="45" t="str">
        <x:v>A02</x:v>
      </x:c>
      <x:c r="D8" s="47" t="str">
        <x:v>通用导航和列表操作</x:v>
      </x:c>
      <x:c r="E8" s="47" t="str">
        <x:v>RD</x:v>
      </x:c>
      <x:c r="F8" s="48" t="str">
        <x:v>登录后使用首页、左侧菜单和任一当前有权访问的列表页面。</x:v>
      </x:c>
      <x:c r="G8" s="48" t="str">
        <x:v>1. 展开和收起左侧菜单，进入一个有权访问的列表页面。
2. 输入一个不存在的批次号并搜索，确认空结果状态正常。
3. 点击“重置”，确认筛选条件清空。
4. 如列表已有数据，切换分页并打开一条详情；如暂无数据，在完成 A08 后用测试原材料补做此步。
5. 使用面包屑、页面返回按钮或浏览器返回回到列表。</x:v>
      </x:c>
      <x:c r="H8" s="48" t="str">
        <x:v>菜单、搜索、重置、分页和详情跳转均正常；空结果有明确状态；返回列表后页面无异常。</x:v>
      </x:c>
      <x:c r="I8" s="48" t="str">
        <x:v>证据：筛选前后结果截图。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2" customHeight="1">
      <x:c r="A9" s="45" t="n">
        <x:v>3</x:v>
      </x:c>
      <x:c r="B9" s="45" t="str">
        <x:v>A 执行准备与系统前置数据</x:v>
      </x:c>
      <x:c r="C9" s="45" t="str">
        <x:v>A03</x:v>
      </x:c>
      <x:c r="D9" s="47" t="str">
        <x:v>角色菜单和数据范围</x:v>
      </x:c>
      <x:c r="E9" s="47" t="str">
        <x:v>ADMIN、RD、VIEWER</x:v>
      </x:c>
      <x:c r="F9" s="48" t="str">
        <x:v>按任务说明进入对应业务详情页</x:v>
      </x:c>
      <x:c r="G9" s="48" t="str">
        <x:v>1. 分别登录三个账号并记录可见菜单。
2. 分别进入材料、项目、流程和系统设置相关列表，记录是否允许访问。
3. 比较新增、编辑、删除、审批等按钮是否按权限显示。
4. 使用 VIEWER 尝试打开一个明确无权访问的管理页面。</x:v>
      </x:c>
      <x:c r="H9" s="48" t="str">
        <x:v>菜单、数据和操作按钮符合授权；无权访问时返回明确的权限提示或 403，不会泄露业务数据。</x:v>
      </x:c>
      <x:c r="I9" s="48" t="str">
        <x:v>证据：账号权限对照截图。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65" customHeight="1">
      <x:c r="A10" s="45" t="n">
        <x:v>4</x:v>
      </x:c>
      <x:c r="B10" s="45" t="str">
        <x:v>A 执行准备与系统前置数据</x:v>
      </x:c>
      <x:c r="C10" s="45" t="str">
        <x:v>A04</x:v>
      </x:c>
      <x:c r="D10" s="47" t="str">
        <x:v>用户和组织授权</x:v>
      </x:c>
      <x:c r="E10" s="47" t="str">
        <x:v>ADMIN</x:v>
      </x:c>
      <x:c r="F10" s="48" t="str">
        <x:v>点击左侧菜单“系统管理设置” → 进入用户、组织和权限相关配置。</x:v>
      </x:c>
      <x:c r="G10" s="48" t="str">
        <x:v>1. 创建或确认本次测试所需账号。
2. 设置子公司/基地、部门、工作组、业务角色和用户等级。
3. 加入对应用户组并配置模块准入。
4. 为 APPROVER 配置审批组织角色或审核组。
5. 使用普通账号重新登录验证菜单和数据范围。</x:v>
      </x:c>
      <x:c r="H10" s="48" t="str">
        <x:v>所有测试账号能够访问职责内模块，且不能访问职责外数据。</x:v>
      </x:c>
      <x:c r="I10" s="48" t="str">
        <x:v>输出：测试账号清单。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78" customHeight="1">
      <x:c r="A11" s="45" t="n">
        <x:v>5</x:v>
      </x:c>
      <x:c r="B11" s="45" t="str">
        <x:v>A 执行准备与系统前置数据</x:v>
      </x:c>
      <x:c r="C11" s="45" t="str">
        <x:v>A05</x:v>
      </x:c>
      <x:c r="D11" s="47" t="str">
        <x:v>材料、测试和项目基础分类</x:v>
      </x:c>
      <x:c r="E11" s="47" t="str">
        <x:v>ADMIN</x:v>
      </x:c>
      <x:c r="F11" s="48" t="str">
        <x:v>点击左侧菜单“材料成品库”，依次进入材料类型、材料特性、应用场景、测试分类和测试标准配置。</x:v>
      </x:c>
      <x:c r="G11" s="48" t="str">
        <x:v>1. 新建或确认一个材料类型，如 E2E-PA66。
2. 新建或确认一个应用场景和一个材料特性。
3. 新建测试分类。
4. 新建三个测试标准：数值型、文本型、选择型各一个。
5. 确认测试单位、数据类型、选择项和排序正确。
6. 在项目全局配置中确认项目等级、业务板块、不合格原因和客户意见类型可用。</x:v>
      </x:c>
      <x:c r="H11" s="48" t="str">
        <x:v>各分类在列表中可检索；三类测试标准能在后续材料和测试表单中正确显示对应输入控件。</x:v>
      </x:c>
      <x:c r="I11" s="48" t="str">
        <x:v>输出：材料类型、场景、特性、测试标准、项目等级和业务板块。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2" customHeight="1">
      <x:c r="A12" s="45" t="n">
        <x:v>6</x:v>
      </x:c>
      <x:c r="B12" s="45" t="str">
        <x:v>A 执行准备与系统前置数据</x:v>
      </x:c>
      <x:c r="C12" s="45" t="str">
        <x:v>A06</x:v>
      </x:c>
      <x:c r="D12" s="47" t="str">
        <x:v>审批流程定义和审批人</x:v>
      </x:c>
      <x:c r="E12" s="47" t="str">
        <x:v>ADMIN</x:v>
      </x:c>
      <x:c r="F12" s="48" t="str">
        <x:v>点击左侧菜单“流程审批中心” → “流程定义管理”。</x:v>
      </x:c>
      <x:c r="G12" s="48" t="str">
        <x:v>1. 选择已有的测试审批流程，或复制/创建专用测试流程。
2. 确认流程已启用且 BPMN 可执行。
3. 核对用户任务 ID、审批组织角色、候选组或指定审批人。
4. 确认 APPROVER 能获得该流程产生的待办。</x:v>
      </x:c>
      <x:c r="H12" s="48" t="str">
        <x:v>流程处于启用状态；审批节点均有有效处理人；后续项目、工单或表单能够选择该流程。</x:v>
      </x:c>
      <x:c r="I12" s="48" t="str">
        <x:v>输出：测试流程名称。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65" customHeight="1">
      <x:c r="A13" s="45" t="n">
        <x:v>7</x:v>
      </x:c>
      <x:c r="B13" s="45" t="str">
        <x:v>A 执行准备与系统前置数据</x:v>
      </x:c>
      <x:c r="C13" s="45" t="str">
        <x:v>A07</x:v>
      </x:c>
      <x:c r="D13" s="47" t="str">
        <x:v>动态表单模板</x:v>
      </x:c>
      <x:c r="E13" s="47" t="str">
        <x:v>ADMIN</x:v>
      </x:c>
      <x:c r="F13" s="48" t="str">
        <x:v>点击左侧菜单“表单管理中心” → “表单模板管理”。</x:v>
      </x:c>
      <x:c r="G13" s="48" t="str">
        <x:v>1. 新建 批次号-验证表单。
2. 增加文本、数值、日期、选择、附件等字段。
3. 将字段划分为至少两个步骤，并配置必填和校验规则。
4. 关联 A06 的审批流程和项目/节点业务对象。
5. 启用模板。</x:v>
      </x:c>
      <x:c r="H13" s="48" t="str">
        <x:v>模板可在“创建表单”和项目表单入口选择；字段、步骤和流程配置正确。</x:v>
      </x:c>
      <x:c r="I13" s="48" t="str">
        <x:v>输出：测试表单模板。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78" customHeight="1">
      <x:c r="A14" s="45" t="n">
        <x:v>8</x:v>
      </x:c>
      <x:c r="B14" s="45" t="str">
        <x:v>A 执行准备与系统前置数据</x:v>
      </x:c>
      <x:c r="C14" s="45" t="str">
        <x:v>A08</x:v>
      </x:c>
      <x:c r="D14" s="47" t="str">
        <x:v>原材料类型、供应商和原材料</x:v>
      </x:c>
      <x:c r="E14" s="47" t="str">
        <x:v>RD 或原材料管理员</x:v>
      </x:c>
      <x:c r="F14" s="48" t="str">
        <x:v>点击左侧菜单“原材料/供应商”。</x:v>
      </x:c>
      <x:c r="G14" s="48" t="str">
        <x:v>1. 在“原材料类型分类”新建或确认树脂、填料、色粉类型。
2. 在“供应商资料库”新建 批次号-测试供应商。
3. 在“原材料列表”依次新建原料 A、原料 B 和色粉 C。
4. 填写唯一内部物料编码，关联类型、供应商和适用材料体系。
5. 为原料增加至少一个性能指标并保存。
6. 打开原材料详情，确认基本资料、性能和被配方使用区域。</x:v>
      </x:c>
      <x:c r="H14" s="48" t="str">
        <x:v>三种原材料可搜索、可在配方 BOM 中选择；内部物料编码不重复。</x:v>
      </x:c>
      <x:c r="I14" s="48" t="str">
        <x:v>输出：原料 A、原料 B、色粉 C。</x:v>
      </x:c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65" customHeight="1">
      <x:c r="A15" s="45" t="n">
        <x:v>9</x:v>
      </x:c>
      <x:c r="B15" s="45" t="str">
        <x:v>A 执行准备与系统前置数据</x:v>
      </x:c>
      <x:c r="C15" s="45" t="str">
        <x:v>A09</x:v>
      </x:c>
      <x:c r="D15" s="47" t="str">
        <x:v>原材料价格和成本前置数据</x:v>
      </x:c>
      <x:c r="E15" s="47" t="str">
        <x:v>ADMIN 或价格管理员</x:v>
      </x:c>
      <x:c r="F15" s="48" t="str">
        <x:v>在系统管理的原材料价格配置中维护，或执行测试环境允许的 SAP 价格同步；随后进入“原材料列表” → 点击原材料名称查看价格。</x:v>
      </x:c>
      <x:c r="G15" s="48" t="str">
        <x:v>1. 为原料 A、B、色粉 C 准备至少两个期间的价格记录。
2. 至少覆盖两个工厂，并故意让一个工厂缺少原料 B 的价格。
3. 在原材料详情核对价格日期、工厂、金额和来源。
4. 核对最新单价和近 N 月均价。
5. 记录缺价工厂，供后续配方成本严格缺价验证。</x:v>
      </x:c>
      <x:c r="H15" s="48" t="str">
        <x:v>最新价格取最新日期；近 N 月均价按日均值再平均；指定工厂无记录时不使用其他工厂价格补齐。</x:v>
      </x:c>
      <x:c r="I15" s="48" t="str">
        <x:v>输出：多期间、多工厂价格记录。
证据：价格历史和价格趋势截图。</x:v>
      </x:c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78" customHeight="1">
      <x:c r="A16" s="45" t="n">
        <x:v>10</x:v>
      </x:c>
      <x:c r="B16" s="45" t="str">
        <x:v>A 执行准备与系统前置数据</x:v>
      </x:c>
      <x:c r="C16" s="45" t="str">
        <x:v>A10</x:v>
      </x:c>
      <x:c r="D16" s="47" t="str">
        <x:v>机台、螺杆和工艺方案</x:v>
      </x:c>
      <x:c r="E16" s="47" t="str">
        <x:v>PROCESS</x:v>
      </x:c>
      <x:c r="F16" s="48" t="str">
        <x:v>点击左侧菜单“生产工艺库”。</x:v>
      </x:c>
      <x:c r="G16" s="48" t="str">
        <x:v>1. 在“机台型号管理”新建测试机台。
2. 在“螺杆组合管理”新建组合并关联测试机台。
3. 在“工艺方案列表”新建 批次号-挤出工艺。
4. 关联材料体系、机台和螺杆组合。
5. 填写温区、转速、扭矩、压力、冷却、过滤和 QC 要点。
6. 保存后复制副本，修改名称和一个关键参数，验证复制功能。</x:v>
      </x:c>
      <x:c r="H16" s="48" t="str">
        <x:v>工艺方案详情显示完整；复制后是独立记录；后续配方和工单可选择原方案。</x:v>
      </x:c>
      <x:c r="I16" s="48" t="str">
        <x:v>输出：机台、螺杆、工艺方案。</x:v>
      </x:c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52" customHeight="1">
      <x:c r="A17" s="45" t="n">
        <x:v>11</x:v>
      </x:c>
      <x:c r="B17" s="45" t="str">
        <x:v>A 执行准备与系统前置数据</x:v>
      </x:c>
      <x:c r="C17" s="45" t="str">
        <x:v>A11</x:v>
      </x:c>
      <x:c r="D17" s="47" t="str">
        <x:v>模具台账</x:v>
      </x:c>
      <x:c r="E17" s="47" t="str">
        <x:v>INJECTION</x:v>
      </x:c>
      <x:c r="F17" s="48" t="str">
        <x:v>点击左侧菜单“模具注塑中心” → “模具台账”。</x:v>
      </x:c>
      <x:c r="G17" s="48" t="str">
        <x:v>1. 新建 批次号-ISO样条模。
2. 填写唯一编号、测试样条类型、ISO 标准、模腔数量和描述。
3. 将状态设为“可用”并保存。
4. 另建或选择一个“维护中”模具，用于后续不可选验证。</x:v>
      </x:c>
      <x:c r="H17" s="48" t="str">
        <x:v>可用模具能被工单选择；维护中模具不应安排新注塑任务。</x:v>
      </x:c>
      <x:c r="I17" s="48" t="str">
        <x:v>输出：可用测试模具、维护中测试模具。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65" customHeight="1">
      <x:c r="A18" s="45" t="n">
        <x:v>12</x:v>
      </x:c>
      <x:c r="B18" s="45" t="str">
        <x:v>B 客户与 OEM</x:v>
      </x:c>
      <x:c r="C18" s="45" t="str">
        <x:v>B01</x:v>
      </x:c>
      <x:c r="D18" s="47" t="str">
        <x:v>客户和 OEM</x:v>
      </x:c>
      <x:c r="E18" s="47" t="str">
        <x:v>SALES</x:v>
      </x:c>
      <x:c r="F18" s="48" t="str">
        <x:v>点击左侧菜单“客户档案中心” → “主机厂（OEM）库”或“客户资料库”。</x:v>
      </x:c>
      <x:c r="G18" s="48" t="str">
        <x:v>1. 新建 批次号-测试OEM，保存后记录名称或编号。
2. 新建 批次号-测试客户，填写联系人、联系方式和基本资料。
3. 将客户关联到测试 OEM 和负责销售人员。
4. 在客户详情确认关联关系。
5. 在客户评分排行中确认客户可见；新客户暂无评分时记录当前显示。</x:v>
      </x:c>
      <x:c r="H18" s="48" t="str">
        <x:v>OEM 和客户保存成功；客户详情关系正确；列表搜索和筛选正常。</x:v>
      </x:c>
      <x:c r="I18" s="48" t="str">
        <x:v>输出：测试客户名称/编号：________；测试 OEM 名称/编号：________。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04" customHeight="1">
      <x:c r="A19" s="45" t="n">
        <x:v>13</x:v>
      </x:c>
      <x:c r="B19" s="45" t="str">
        <x:v>C 成品材料</x:v>
      </x:c>
      <x:c r="C19" s="45" t="str">
        <x:v>C01</x:v>
      </x:c>
      <x:c r="D19" s="47" t="str">
        <x:v>成品材料</x:v>
      </x:c>
      <x:c r="E19" s="47" t="str">
        <x:v>RD</x:v>
      </x:c>
      <x:c r="F19" s="48" t="str">
        <x:v>点击左侧菜单“材料成品库” → “成品材料列表” → “新增材料”。</x:v>
      </x:c>
      <x:c r="G19" s="48" t="str">
        <x:v>1. 以 批次号-测试成品 为牌号或名称，填写中文/英文名称、制造商、材料类型和描述。
2. 填写专用测试 SAP 物料号。
3. 选择应用场景和材料特性。
4. 填写颜色信息。
5. 增加数值型、文本型和选择型性能数据。
6. 填写典型加工条件。
7. 暂不勾选“对外发布”，保存。
8. 打开详情并导出 TDS，检查中英文名称和物性数据。</x:v>
      </x:c>
      <x:c r="H19" s="48" t="str">
        <x:v>成品保存成功；三类性能数据展示正确；加工条件、TDS 和未发布状态正确。</x:v>
      </x:c>
      <x:c r="I19" s="48" t="str">
        <x:v>输出：成品材料名称/牌号：________；SAP 物料号：________。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52" customHeight="1">
      <x:c r="A20" s="45" t="n">
        <x:v>14</x:v>
      </x:c>
      <x:c r="B20" s="45" t="str">
        <x:v>D 项目创建与协作</x:v>
      </x:c>
      <x:c r="C20" s="45" t="str">
        <x:v>D01</x:v>
      </x:c>
      <x:c r="D20" s="47" t="str">
        <x:v>基础预研项目</x:v>
      </x:c>
      <x:c r="E20" s="47" t="str">
        <x:v>RD</x:v>
      </x:c>
      <x:c r="F20" s="48" t="str">
        <x:v>点击左侧菜单“基础预研中心” → “预研项目管理” → “新建预研项目”。</x:v>
      </x:c>
      <x:c r="G20" s="48" t="str">
        <x:v>1. 新建 批次号-基础预研，填写负责人、所属组和描述。
2. 确认系统自动创建六个标准阶段。
3. 将当前阶段更新为“进行中”，填写备注并保存。
4. 在后续配方任务中关联此预研项目。</x:v>
      </x:c>
      <x:c r="H20" s="48" t="str">
        <x:v>预研编号自动生成；阶段顺序正确；状态和备注保存成功。</x:v>
      </x:c>
      <x:c r="I20" s="48" t="str">
        <x:v>输出：测试预研项目。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65" customHeight="1">
      <x:c r="A21" s="45" t="n">
        <x:v>15</x:v>
      </x:c>
      <x:c r="B21" s="45" t="str">
        <x:v>D 项目创建与协作</x:v>
      </x:c>
      <x:c r="C21" s="45" t="str">
        <x:v>D02</x:v>
      </x:c>
      <x:c r="D21" s="47" t="str">
        <x:v>创建研发项目</x:v>
      </x:c>
      <x:c r="E21" s="47" t="str">
        <x:v>RD</x:v>
      </x:c>
      <x:c r="F21" s="48" t="str">
        <x:v>点击左侧菜单“项目管理中心” → “项目列表” → “新建项目”。</x:v>
      </x:c>
      <x:c r="G21" s="48" t="str">
        <x:v>1. 新建 批次号-主流程项目。
2. 项目编码留空，验证系统自动生成。
3. 选择负责人、项目等级、C01 成品材料和业务板块。
4. 填写项目描述并选择测试审批流程（页面提供时）。
5. 保存并打开项目详情。</x:v>
      </x:c>
      <x:c r="H21" s="48" t="str">
        <x:v>项目创建成功；项目编码唯一；标准阶段和量产过程跟踪节点自动生成；当前节点正确。</x:v>
      </x:c>
      <x:c r="I21" s="48" t="str">
        <x:v>输出：项目名称/编码：________；当前节点：________；关联成品材料：________。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52" customHeight="1">
      <x:c r="A22" s="45" t="n">
        <x:v>16</x:v>
      </x:c>
      <x:c r="B22" s="45" t="str">
        <x:v>D 项目创建与协作</x:v>
      </x:c>
      <x:c r="C22" s="45" t="str">
        <x:v>D03</x:v>
      </x:c>
      <x:c r="D22" s="47" t="str">
        <x:v>项目成员和工作量</x:v>
      </x:c>
      <x:c r="E22" s="47" t="str">
        <x:v>RD、SALES</x:v>
      </x:c>
      <x:c r="F22" s="48" t="str">
        <x:v>进入主流程项目详情 → 成员管理/销售成员管理。</x:v>
      </x:c>
      <x:c r="G22" s="48" t="str">
        <x:v>1. 添加研发协同成员，设置成员角色和工作量占比。
2. 添加销售成员及其工作量占比。
3. 修改一名成员的占比并保存。
4. 分别使用成员账号验证项目可见性。</x:v>
      </x:c>
      <x:c r="H22" s="48" t="str">
        <x:v>研发和销售成员分别保存在对应工作量池；占比更新后详情和绩效数据来源一致；项目成员可访问项目。</x:v>
      </x:c>
      <x:c r="I22" s="48" t="str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65" customHeight="1">
      <x:c r="A23" s="45" t="n">
        <x:v>17</x:v>
      </x:c>
      <x:c r="B23" s="45" t="str">
        <x:v>D 项目创建与协作</x:v>
      </x:c>
      <x:c r="C23" s="45" t="str">
        <x:v>D04</x:v>
      </x:c>
      <x:c r="D23" s="47" t="str">
        <x:v>项目商务档案与变更审批</x:v>
      </x:c>
      <x:c r="E23" s="47" t="str">
        <x:v>SALES、APPROVER</x:v>
      </x:c>
      <x:c r="F23" s="48" t="str">
        <x:v>进入主流程项目详情 → 项目档案/商务档案。</x:v>
      </x:c>
      <x:c r="G23" s="48" t="str">
        <x:v>1. 关联 B01 客户和 OEM。
2. 填写车型、预计订单、销售负责人等商务字段。
3. 填写提交意见并发起变更审批。
4. 使用 APPROVER 在“我的待办任务”中通过审批。
5. 返回项目档案确认正式数据已更新，变更记录完整。</x:v>
      </x:c>
      <x:c r="H23" s="48" t="str">
        <x:v>审批前正式档案不被替换；审批后新数据生效；发起人、审批意见和时间可追溯。</x:v>
      </x:c>
      <x:c r="I23" s="48" t="str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65" customHeight="1">
      <x:c r="A24" s="45" t="n">
        <x:v>18</x:v>
      </x:c>
      <x:c r="B24" s="45" t="str">
        <x:v>D 项目创建与协作</x:v>
      </x:c>
      <x:c r="C24" s="45" t="str">
        <x:v>D05</x:v>
      </x:c>
      <x:c r="D24" s="47" t="str">
        <x:v>项目节点推进</x:v>
      </x:c>
      <x:c r="E24" s="47" t="str">
        <x:v>RD、APPROVER</x:v>
      </x:c>
      <x:c r="F24" s="48" t="str">
        <x:v>进入主流程项目详情 → 当前活动节点。</x:v>
      </x:c>
      <x:c r="G24" s="48" t="str">
        <x:v>1. 将当前节点设为“进行中”，填写备注。
2. 再将节点设为“已完成”或提交完成审批。
3. 若产生审批，使用 APPROVER 处理。
4. 刷新项目详情，确认下一标准节点自动成为当前节点。
5. 检查甘特图、进度和状态记录。</x:v>
      </x:c>
      <x:c r="H24" s="48" t="str">
        <x:v>节点状态按规则变化；审批通过后推进；项目进度和甘特图同步更新。</x:v>
      </x:c>
      <x:c r="I24" s="48" t="str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78" customHeight="1">
      <x:c r="A25" s="45" t="n">
        <x:v>19</x:v>
      </x:c>
      <x:c r="B25" s="45" t="str">
        <x:v>D 项目创建与协作</x:v>
      </x:c>
      <x:c r="C25" s="45" t="str">
        <x:v>D06</x:v>
      </x:c>
      <x:c r="D25" s="47" t="str">
        <x:v>项目动态表单、草稿和附件</x:v>
      </x:c>
      <x:c r="E25" s="47" t="str">
        <x:v>RD</x:v>
      </x:c>
      <x:c r="F25" s="48" t="str">
        <x:v>进入主流程项目详情 → “项目表单/表单记录” → 创建表单。</x:v>
      </x:c>
      <x:c r="G25" s="48" t="str">
        <x:v>1. 选择 A07 测试模板并确认关联项目和节点。
2. 填写第一步字段，故意遗漏一个必填项并尝试继续。
3. 确认出现字段校验提示，补齐后保存草稿。
4. 从“表单管理中心” → “我的表单草稿”重新打开。
5. 上传一个专用测试附件，完成剩余字段并提交。
6. 在“我的表单提交”查看表单编号、流程和附件。</x:v>
      </x:c>
      <x:c r="H25" s="48" t="str">
        <x:v>必填校验生效；草稿可恢复；附件可见；提交后生成审批实例且不能仍显示为草稿。</x:v>
      </x:c>
      <x:c r="I25" s="48" t="str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65" customHeight="1">
      <x:c r="A26" s="45" t="n">
        <x:v>20</x:v>
      </x:c>
      <x:c r="B26" s="45" t="str">
        <x:v>D 项目创建与协作</x:v>
      </x:c>
      <x:c r="C26" s="45" t="str">
        <x:v>D07</x:v>
      </x:c>
      <x:c r="D26" s="47" t="str">
        <x:v>表单审批、退回和再提交</x:v>
      </x:c>
      <x:c r="E26" s="47" t="str">
        <x:v>APPROVER、RD</x:v>
      </x:c>
      <x:c r="F26" s="48" t="str">
        <x:v>点击左侧菜单“流程审批中心” → “我的待办任务”。</x:v>
      </x:c>
      <x:c r="G26" s="48" t="str">
        <x:v>1. 打开 D06 表单待办，查看完整表单和附件。
2. 填写退回原因并退回发起人或前序步骤。
3. 使用 RD 修改字段并重新提交。
4. 使用 APPROVER 再次打开待办并通过。
5. 在“我的已办”和“我发起的流程”核对全流程记录。</x:v>
      </x:c>
      <x:c r="H26" s="48" t="str">
        <x:v>退回目标和意见正确；修改后可再提交；通过后流程完成；历史动作不可被覆盖。</x:v>
      </x:c>
      <x:c r="I26" s="48" t="str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65" customHeight="1">
      <x:c r="A27" s="45" t="n">
        <x:v>21</x:v>
      </x:c>
      <x:c r="B27" s="45" t="str">
        <x:v>E 实验配方、BOM 与成本</x:v>
      </x:c>
      <x:c r="C27" s="45" t="str">
        <x:v>E01</x:v>
      </x:c>
      <x:c r="D27" s="47" t="str">
        <x:v>创建配方版本 1</x:v>
      </x:c>
      <x:c r="E27" s="47" t="str">
        <x:v>RD</x:v>
      </x:c>
      <x:c r="F27" s="48" t="str">
        <x:v>进入主流程项目详情 → “配方过程” → “新增配方”。</x:v>
      </x:c>
      <x:c r="G27" s="48" t="str">
        <x:v>1. 选择“从空白开始”。
2. 填写 批次号-配方、材料类型、项目、当前项目节点和 A10 工艺方案。
3. 关联 D01 基础预研项目。
4. 在 BOM 添加原料 A 60 份、原料 B 40 份并设置加料顺序。
5. 保存配方版本 1。</x:v>
      </x:c>
      <x:c r="H27" s="48" t="str">
        <x:v>实验单号自动生成；版本号正确；BOM 合计和原材料关联正确；项目配方过程页显示该版本。</x:v>
      </x:c>
      <x:c r="I27" s="48" t="str">
        <x:v>输出：实验单号：________；配方 V1 编号：________。</x:v>
      </x:c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78" customHeight="1">
      <x:c r="A28" s="45" t="n">
        <x:v>22</x:v>
      </x:c>
      <x:c r="B28" s="45" t="str">
        <x:v>E 实验配方、BOM 与成本</x:v>
      </x:c>
      <x:c r="C28" s="45" t="str">
        <x:v>E02</x:v>
      </x:c>
      <x:c r="D28" s="47" t="str">
        <x:v>配方成本和 LOCF 时间线</x:v>
      </x:c>
      <x:c r="E28" s="47" t="str">
        <x:v>RD</x:v>
      </x:c>
      <x:c r="F28" s="48" t="str">
        <x:v>点击左侧菜单“实验配方库” → “实验配方列表” → 打开 E01 配方。</x:v>
      </x:c>
      <x:c r="G28" s="48" t="str">
        <x:v>1. 查看“成本核算”中的全部工厂预测成本和近 N 月均价成本。
2. 查看各工厂预测成本；确认 A09 缺少原料 B 价格的工厂不显示成本。
3. 打开“配方价格走势”。
4. 按价格记录日期逐点核对：当日有价使用当日价，当日无价沿用之前最近价格。
5. 确认某原料首次出现价格之前的候选日期不输出成本点。
6. 记录手工计算与页面结果。</x:v>
      </x:c>
      <x:c r="H28" s="48" t="str">
        <x:v>预测成本 = Σ（最新价 × 份数）÷ 总份数；LOCF 只向过去取值；非零 BOM 行缺价时整项成本为空，不按 0 元计算。</x:v>
      </x:c>
      <x:c r="I28" s="48" t="str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65" customHeight="1">
      <x:c r="A29" s="45" t="n">
        <x:v>23</x:v>
      </x:c>
      <x:c r="B29" s="45" t="str">
        <x:v>E 实验配方、BOM 与成本</x:v>
      </x:c>
      <x:c r="C29" s="45" t="str">
        <x:v>E03</x:v>
      </x:c>
      <x:c r="D29" s="47" t="str">
        <x:v>创建版本 2 和配方对比</x:v>
      </x:c>
      <x:c r="E29" s="47" t="str">
        <x:v>RD</x:v>
      </x:c>
      <x:c r="F29" s="48" t="str">
        <x:v>在 E01 配方详情创建新版本或复制版本；随后进入配方列表。</x:v>
      </x:c>
      <x:c r="G29" s="48" t="str">
        <x:v>1. 创建版本 2，将原料 A/B 份数改为 70/30。
2. 修改一项工艺或测试结果说明并保存。
3. 将 V1、V2 加入配方对比清单。
4. 打开表格对比和图表对比。
5. 核对 BOM、物性、预测成本、均价成本和版本信息差异。</x:v>
      </x:c>
      <x:c r="H29" s="48" t="str">
        <x:v>两个版本共享实验单号但版本号不同；对比结果与实际字段一致；成本随 BOM 比例变化。</x:v>
      </x:c>
      <x:c r="I29" s="48" t="str">
        <x:v>输出：配方 V2 编号：________；与 V1 的关键差异：________。</x:v>
      </x:c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52" customHeight="1">
      <x:c r="A30" s="45" t="n">
        <x:v>24</x:v>
      </x:c>
      <x:c r="B30" s="45" t="str">
        <x:v>E 实验配方、BOM 与成本</x:v>
      </x:c>
      <x:c r="C30" s="45" t="str">
        <x:v>E04</x:v>
      </x:c>
      <x:c r="D30" s="47" t="str">
        <x:v>配色 BOM</x:v>
      </x:c>
      <x:c r="E30" s="47" t="str">
        <x:v>COLOR</x:v>
      </x:c>
      <x:c r="F30" s="48" t="str">
        <x:v>点击左侧菜单“材料配色中心” → “产品项目” → 打开主流程项目；或等待工单生成配色任务后进入。</x:v>
      </x:c>
      <x:c r="G30" s="48" t="str">
        <x:v>1. 选择正确项目阶段、轮次和配方 V1。
2. 核对页面标题、实验单号和版本号。
3. 添加色粉 C 5 份并保存。
4. 查看配方详情中的色粉成本和最新总成本。</x:v>
      </x:c>
      <x:c r="H30" s="48" t="str">
        <x:v>色粉 BOM 只关联当前配方版本；色粉成本按 Σ（色粉最新价 × 份数）÷ 100 计算；总成本等于主 BOM 预测成本加色粉成本。</x:v>
      </x:c>
      <x:c r="I30" s="48" t="str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04" customHeight="1">
      <x:c r="A31" s="45" t="n">
        <x:v>25</x:v>
      </x:c>
      <x:c r="B31" s="45" t="str">
        <x:v>F 试产工单、审批与排产</x:v>
      </x:c>
      <x:c r="C31" s="45" t="str">
        <x:v>F01</x:v>
      </x:c>
      <x:c r="D31" s="47" t="str">
        <x:v>创建试产工单</x:v>
      </x:c>
      <x:c r="E31" s="47" t="str">
        <x:v>RD</x:v>
      </x:c>
      <x:c r="F31" s="48" t="str">
        <x:v>进入主流程项目详情 → “配方过程” → 选择实验单/配方版本 → “创建工单”。</x:v>
      </x:c>
      <x:c r="G31" s="48" t="str">
        <x:v>1. 关联主流程项目和当前节点。
2. 选择配方 V1 和 V2，分别填写计划产量。
3. 为 V1 勾选“需要配色”，V2 不勾选。
4. 选择工艺方案和挤出操作员。
5. 填写干燥、包装和存放信息。
6. 选择 A11 可用模具并填写各版本制样数量。
7. 选择数值型、文本型和选择型测试项目。
8. 保存草稿。</x:v>
      </x:c>
      <x:c r="H31" s="48" t="str">
        <x:v>工单编号生成；两条配方明细、产量、配色标记、模具和测试项目正确；维护中模具不可被正常安排。</x:v>
      </x:c>
      <x:c r="I31" s="48" t="str">
        <x:v>输出：工单编号：________；配方版本：________；计划产量：________。</x:v>
      </x:c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52" customHeight="1">
      <x:c r="A32" s="45" t="n">
        <x:v>26</x:v>
      </x:c>
      <x:c r="B32" s="45" t="str">
        <x:v>F 试产工单、审批与排产</x:v>
      </x:c>
      <x:c r="C32" s="45" t="str">
        <x:v>F02</x:v>
      </x:c>
      <x:c r="D32" s="47" t="str">
        <x:v>工单校验、编辑和打印</x:v>
      </x:c>
      <x:c r="E32" s="47" t="str">
        <x:v>RD</x:v>
      </x:c>
      <x:c r="F32" s="48" t="str">
        <x:v>进入 F01 工单详情。</x:v>
      </x:c>
      <x:c r="G32" s="48" t="str">
        <x:v>1. 核对项目、节点、配方、计划产量、工艺、模具和测试项。
2. 在草稿状态修改包装说明并保存。
3. 点击“打印工单”，检查打印预览的分页、表头和明细。
4. 返回详情确认数据未因打印发生变化。</x:v>
      </x:c>
      <x:c r="H32" s="48" t="str">
        <x:v>草稿可编辑；打印内容完整；打印操作不改变工单状态。</x:v>
      </x:c>
      <x:c r="I32" s="48" t="str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78" customHeight="1">
      <x:c r="A33" s="45" t="n">
        <x:v>27</x:v>
      </x:c>
      <x:c r="B33" s="45" t="str">
        <x:v>F 试产工单、审批与排产</x:v>
      </x:c>
      <x:c r="C33" s="45" t="str">
        <x:v>F03</x:v>
      </x:c>
      <x:c r="D33" s="47" t="str">
        <x:v>提交审批和候选人签收</x:v>
      </x:c>
      <x:c r="E33" s="47" t="str">
        <x:v>RD、APPROVER</x:v>
      </x:c>
      <x:c r="F33" s="48" t="str">
        <x:v>F01 工单详情 → “提交审批/启动流程”；审批人进入“我的待办任务”。</x:v>
      </x:c>
      <x:c r="G33" s="48" t="str">
        <x:v>1. 提交工单审批。
2. 在“我发起的流程”确认状态为运行中。
3. 如果待办属于候选组，使用 APPROVER 先签收任务。
4. 填写审批意见并通过。
5. 返回工单详情确认状态进入“已发单”。
6. 在通知中心核对发起人和相关人员收到通知。</x:v>
      </x:c>
      <x:c r="H33" s="48" t="str">
        <x:v>流程历史、签收人和意见正确；审批通过后工单业务状态回写；通知链接能打开正确对象。</x:v>
      </x:c>
      <x:c r="I33" s="48" t="str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42" customHeight="1">
      <x:c r="A34" s="45" t="n">
        <x:v>28</x:v>
      </x:c>
      <x:c r="B34" s="45" t="str">
        <x:v>F 试产工单、审批与排产</x:v>
      </x:c>
      <x:c r="C34" s="45" t="str">
        <x:v>F04</x:v>
      </x:c>
      <x:c r="D34" s="47" t="str">
        <x:v>工单后的配方锁定</x:v>
      </x:c>
      <x:c r="E34" s="47" t="str">
        <x:v>RD</x:v>
      </x:c>
      <x:c r="F34" s="48" t="str">
        <x:v>打开 E01 实验单详情并尝试管理版本/BOM。</x:v>
      </x:c>
      <x:c r="G34" s="48" t="str">
        <x:v>1. 确认工单进入审批或已发单后，版本增删受到限制。
2. 记录当前仍允许修改的字段。
3. 不绕过页面限制，不直接修改生产已引用的数据。</x:v>
      </x:c>
      <x:c r="H34" s="48" t="str">
        <x:v>页面显示正确锁定级别；不允许的版本操作被隐藏或阻止；已有工单关联不被破坏。</x:v>
      </x:c>
      <x:c r="I34" s="48" t="str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65" customHeight="1">
      <x:c r="A35" s="45" t="n">
        <x:v>29</x:v>
      </x:c>
      <x:c r="B35" s="45" t="str">
        <x:v>F 试产工单、审批与排产</x:v>
      </x:c>
      <x:c r="C35" s="45" t="str">
        <x:v>F05</x:v>
      </x:c>
      <x:c r="D35" s="47" t="str">
        <x:v>挤出排产</x:v>
      </x:c>
      <x:c r="E35" s="47" t="str">
        <x:v>PROCESS</x:v>
      </x:c>
      <x:c r="F35" s="48" t="str">
        <x:v>点击左侧菜单“挤出排产中心” → “排产工作台”。</x:v>
      </x:c>
      <x:c r="G35" s="48" t="str">
        <x:v>1. 在待排工单区域找到 F01 工单。
2. 拖放到测试日期/时间段，或打开排产操作填写开始和结束时间。
3. 选择挤出操作员并保存。
4. 在“排产日历”和“挤出任务”中查找该任务。
5. 调整一次排期并再次核对日历。</x:v>
      </x:c>
      <x:c r="H35" s="48" t="str">
        <x:v>待排工单转为已安排；时间和操作员在工作台、日历和任务详情一致；调整后旧时间不残留。</x:v>
      </x:c>
      <x:c r="I35" s="48" t="str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52" customHeight="1">
      <x:c r="A36" s="45" t="n">
        <x:v>30</x:v>
      </x:c>
      <x:c r="B36" s="45" t="str">
        <x:v>G 生产执行、库存、注塑与测试</x:v>
      </x:c>
      <x:c r="C36" s="45" t="str">
        <x:v>G01</x:v>
      </x:c>
      <x:c r="D36" s="47" t="str">
        <x:v>配色任务联动</x:v>
      </x:c>
      <x:c r="E36" s="47" t="str">
        <x:v>COLOR</x:v>
      </x:c>
      <x:c r="F36" s="48" t="str">
        <x:v>点击左侧菜单“材料配色中心” → “配色任务”。</x:v>
      </x:c>
      <x:c r="G36" s="48" t="str">
        <x:v>1. 查找 F01 工单。
2. 确认只有勾选“需要配色”的 V1 生成配色任务。
3. 进入配色页，核对 E04 色粉 BOM。
4. 如允许，修改色粉份数并保存，再返回配方详情核对成本。</x:v>
      </x:c>
      <x:c r="H36" s="48" t="str">
        <x:v>V1 有配色任务，V2 无配色任务；配色数据写入正确版本；成本同步刷新。</x:v>
      </x:c>
      <x:c r="I36" s="48" t="str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52" customHeight="1">
      <x:c r="A37" s="45" t="n">
        <x:v>31</x:v>
      </x:c>
      <x:c r="B37" s="45" t="str">
        <x:v>G 生产执行、库存、注塑与测试</x:v>
      </x:c>
      <x:c r="C37" s="45" t="str">
        <x:v>G02</x:v>
      </x:c>
      <x:c r="D37" s="47" t="str">
        <x:v>开始挤出和锁定升级</x:v>
      </x:c>
      <x:c r="E37" s="47" t="str">
        <x:v>PROCESS</x:v>
      </x:c>
      <x:c r="F37" s="48" t="str">
        <x:v>点击左侧菜单“挤出排产中心” → “挤出任务” → 打开 F01 任务。</x:v>
      </x:c>
      <x:c r="G37" s="48" t="str">
        <x:v>1. 核对工单、配方、计划产量、工艺方案和排期。
2. 点击“开始生产/开始挤出”。
3. 记录操作员和开始时间。
4. 使用 RD 再次打开实验单，确认进入严格锁定状态。</x:v>
      </x:c>
      <x:c r="H37" s="48" t="str">
        <x:v>任务变为挤出中；工单状态联动；操作员和时间正确；关联实验单整体只读。</x:v>
      </x:c>
      <x:c r="I37" s="48" t="str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52" customHeight="1">
      <x:c r="A38" s="45" t="n">
        <x:v>32</x:v>
      </x:c>
      <x:c r="B38" s="45" t="str">
        <x:v>G 生产执行、库存、注塑与测试</x:v>
      </x:c>
      <x:c r="C38" s="45" t="str">
        <x:v>G03</x:v>
      </x:c>
      <x:c r="D38" s="47" t="str">
        <x:v>填写挤出记录</x:v>
      </x:c>
      <x:c r="E38" s="47" t="str">
        <x:v>PROCESS</x:v>
      </x:c>
      <x:c r="F38" s="48" t="str">
        <x:v>挤出任务详情 → “填写记录”。</x:v>
      </x:c>
      <x:c r="G38" s="48" t="str">
        <x:v>1. 填写实际温区、转速、扭矩、喂料速度、压力和实测温度。
2. 填写真空、过滤网、料条、冷却和风刀参数。
3. 填写实际产量和一条测试备注。
4. 保存后重新打开记录。</x:v>
      </x:c>
      <x:c r="H38" s="48" t="str">
        <x:v>实际值完整保存；数值格式正确；记录与 F01 工单和操作员关联。</x:v>
      </x:c>
      <x:c r="I38" s="48" t="str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65" customHeight="1">
      <x:c r="A39" s="45" t="n">
        <x:v>33</x:v>
      </x:c>
      <x:c r="B39" s="45" t="str">
        <x:v>G 生产执行、库存、注塑与测试</x:v>
      </x:c>
      <x:c r="C39" s="45" t="str">
        <x:v>G04</x:v>
      </x:c>
      <x:c r="D39" s="47" t="str">
        <x:v>完成挤出和颗粒分拨</x:v>
      </x:c>
      <x:c r="E39" s="47" t="str">
        <x:v>PROCESS</x:v>
      </x:c>
      <x:c r="F39" s="48" t="str">
        <x:v>挤出任务详情 → 完成挤出 → “颗粒分拨”。</x:v>
      </x:c>
      <x:c r="G39" s="48" t="str">
        <x:v>1. 核对实际产量和过程记录。
2. 完成挤出。
3. 按配方版本分配成品库存和注塑用料。
4. 填写包装说明、存放位置和批次信息。
5. 确认分配总量与实际产量一致并提交。</x:v>
      </x:c>
      <x:c r="H39" s="48" t="str">
        <x:v>挤出任务完成；分拨数量守恒；成品颗粒库存生成；注塑用料触发后续注塑任务。</x:v>
      </x:c>
      <x:c r="I39" s="48" t="str">
        <x:v>证据：分拨前后数量记录。</x:v>
      </x:c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42" customHeight="1">
      <x:c r="A40" s="45" t="n">
        <x:v>34</x:v>
      </x:c>
      <x:c r="B40" s="45" t="str">
        <x:v>G 生产执行、库存、注塑与测试</x:v>
      </x:c>
      <x:c r="C40" s="45" t="str">
        <x:v>G05</x:v>
      </x:c>
      <x:c r="D40" s="47" t="str">
        <x:v>成品颗粒库存</x:v>
      </x:c>
      <x:c r="E40" s="47" t="str">
        <x:v>PROCESS</x:v>
      </x:c>
      <x:c r="F40" s="48" t="str">
        <x:v>点击左侧菜单“试验排产中心” → “成品颗粒库存”。</x:v>
      </x:c>
      <x:c r="G40" s="48" t="str">
        <x:v>1. 按实验单号搜索 F01 批次。
2. 核对配方版本、数量、包装、位置和库存状态。
3. 打开批次详情并核对来源工单和 SAP 物料号预填情况。</x:v>
      </x:c>
      <x:c r="H40" s="48" t="str">
        <x:v>库存数量与 G04 一致；来源关系可追溯；SAP 物料号来自项目成品材料。</x:v>
      </x:c>
      <x:c r="I40" s="48" t="str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52" customHeight="1">
      <x:c r="A41" s="45" t="n">
        <x:v>35</x:v>
      </x:c>
      <x:c r="B41" s="45" t="str">
        <x:v>G 生产执行、库存、注塑与测试</x:v>
      </x:c>
      <x:c r="C41" s="45" t="str">
        <x:v>G06</x:v>
      </x:c>
      <x:c r="D41" s="47" t="str">
        <x:v>开始注塑</x:v>
      </x:c>
      <x:c r="E41" s="47" t="str">
        <x:v>INJECTION</x:v>
      </x:c>
      <x:c r="F41" s="48" t="str">
        <x:v>点击左侧菜单“模具注塑中心” → “注塑任务”。</x:v>
      </x:c>
      <x:c r="G41" s="48" t="str">
        <x:v>1. 查找 F01 工单生成的注塑任务。
2. 核对颗粒来源、项目、配方版本、模具和计划制样数量。
3. 确认可用模具状态正常。
4. 点击“开始注塑”。</x:v>
      </x:c>
      <x:c r="H41" s="48" t="str">
        <x:v>任务进入注塑中；颗粒来源和用量关系正确；不可用模具不会被任务使用。</x:v>
      </x:c>
      <x:c r="I41" s="48" t="str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52" customHeight="1">
      <x:c r="A42" s="45" t="n">
        <x:v>36</x:v>
      </x:c>
      <x:c r="B42" s="45" t="str">
        <x:v>G 生产执行、库存、注塑与测试</x:v>
      </x:c>
      <x:c r="C42" s="45" t="str">
        <x:v>G07</x:v>
      </x:c>
      <x:c r="D42" s="47" t="str">
        <x:v>完成注塑和生成样条</x:v>
      </x:c>
      <x:c r="E42" s="47" t="str">
        <x:v>INJECTION</x:v>
      </x:c>
      <x:c r="F42" s="48" t="str">
        <x:v>注塑任务详情 → 完成操作。</x:v>
      </x:c>
      <x:c r="G42" s="48" t="str">
        <x:v>1. 填写注塑参数、工艺备注和完成备注。
2. 按模具和配方版本填写实际样条数量、合格数量。
3. 完成注塑。
4. 进入“样品库存”确认颗粒消耗和样条生成。</x:v>
      </x:c>
      <x:c r="H42" s="48" t="str">
        <x:v>注塑任务完成；合格数量不超过实际数量；每个配方版本生成正确样条批次；测试任务自动生成。</x:v>
      </x:c>
      <x:c r="I42" s="48" t="str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42" customHeight="1">
      <x:c r="A43" s="45" t="n">
        <x:v>37</x:v>
      </x:c>
      <x:c r="B43" s="45" t="str">
        <x:v>G 生产执行、库存、注塑与测试</x:v>
      </x:c>
      <x:c r="C43" s="45" t="str">
        <x:v>G08</x:v>
      </x:c>
      <x:c r="D43" s="47" t="str">
        <x:v>样条库存和测试任务关联</x:v>
      </x:c>
      <x:c r="E43" s="47" t="str">
        <x:v>TEST</x:v>
      </x:c>
      <x:c r="F43" s="48" t="str">
        <x:v>点击左侧菜单“材料测试中心” → “样条库存”或“测试任务”。</x:v>
      </x:c>
      <x:c r="G43" s="48" t="str">
        <x:v>1. 按工单或实验单号搜索样条。
2. 核对批次、配方版本、模具、合格数量和状态。
3. 打开测试任务，核对工单测试项目和所有配方版本。</x:v>
      </x:c>
      <x:c r="H43" s="48" t="str">
        <x:v>样条库存与 G07 数量一致；测试任务只包含 F01 选择的测试项目；版本列完整且没有串号。</x:v>
      </x:c>
      <x:c r="I43" s="48" t="str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65" customHeight="1">
      <x:c r="A44" s="45" t="n">
        <x:v>38</x:v>
      </x:c>
      <x:c r="B44" s="45" t="str">
        <x:v>G 生产执行、库存、注塑与测试</x:v>
      </x:c>
      <x:c r="C44" s="45" t="str">
        <x:v>G09</x:v>
      </x:c>
      <x:c r="D44" s="47" t="str">
        <x:v>填写材料测试结果</x:v>
      </x:c>
      <x:c r="E44" s="47" t="str">
        <x:v>TEST</x:v>
      </x:c>
      <x:c r="F44" s="48" t="str">
        <x:v>材料测试中心 → “测试任务” → 打开任务 → “填写结果”。</x:v>
      </x:c>
      <x:c r="G44" s="48" t="str">
        <x:v>1. 在“测试项 × 配方版本”矩阵逐格填写结果。
2. 数值型指标输入数字；文本型输入文本；选择型从选项选择。
3. 故意给数值型输入文本，确认校验失败后改正。
4. 填写测试日期和备注并保存。
5. 重新打开任务确认全部结果存在于正确版本列。</x:v>
      </x:c>
      <x:c r="H44" s="48" t="str">
        <x:v>数据类型校验生效；保存后结果、日期和备注正确；任务状态按规则更新。</x:v>
      </x:c>
      <x:c r="I44" s="48" t="str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65" customHeight="1">
      <x:c r="A45" s="45" t="n">
        <x:v>39</x:v>
      </x:c>
      <x:c r="B45" s="45" t="str">
        <x:v>G 生产执行、库存、注塑与测试</x:v>
      </x:c>
      <x:c r="C45" s="45" t="str">
        <x:v>G10</x:v>
      </x:c>
      <x:c r="D45" s="47" t="str">
        <x:v>回写配方</x:v>
      </x:c>
      <x:c r="E45" s="47" t="str">
        <x:v>TEST、RD</x:v>
      </x:c>
      <x:c r="F45" s="48" t="str">
        <x:v>测试任务详情 → “回写配方”。</x:v>
      </x:c>
      <x:c r="G45" s="48" t="str">
        <x:v>1. 复核所有测试项和版本列。
2. 点击“回写配方”并确认。
3. 确认任务显示“已回写”。
4. 使用 RD 打开配方 V1、V2 和项目“配方过程”。
5. 逐项核对测试值、单位、日期、来源工单和版本归属。</x:v>
      </x:c>
      <x:c r="H45" s="48" t="str">
        <x:v>结果写入对应配方版本；任务、配方详情和项目配方过程一致；重复回写不会生成错误重复数据。</x:v>
      </x:c>
      <x:c r="I45" s="48" t="str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52" customHeight="1">
      <x:c r="A46" s="45" t="n">
        <x:v>40</x:v>
      </x:c>
      <x:c r="B46" s="45" t="str">
        <x:v>G 生产执行、库存、注塑与测试</x:v>
      </x:c>
      <x:c r="C46" s="45" t="str">
        <x:v>G11</x:v>
      </x:c>
      <x:c r="D46" s="47" t="str">
        <x:v>工单完成和全链路追溯</x:v>
      </x:c>
      <x:c r="E46" s="47" t="str">
        <x:v>RD</x:v>
      </x:c>
      <x:c r="F46" s="48" t="str">
        <x:v>试验排产中心 → 打开 F01 工单详情。</x:v>
      </x:c>
      <x:c r="G46" s="48" t="str">
        <x:v>1. 核对工单、挤出、注塑和测试状态。
2. 确认满足条件后工单进入“已完成”。
3. 从工单依次打开配方、项目、颗粒库存、注塑任务和测试任务。
4. 从配方测试结果反向找到来源工单。</x:v>
      </x:c>
      <x:c r="H46" s="48" t="str">
        <x:v>主链对象可以双向追溯；状态没有停留在错误阶段；编号、版本和数量一致。</x:v>
      </x:c>
      <x:c r="I46" s="48" t="str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65" customHeight="1">
      <x:c r="A47" s="45" t="n">
        <x:v>41</x:v>
      </x:c>
      <x:c r="B47" s="45" t="str">
        <x:v>H 项目闭环、发布和看板</x:v>
      </x:c>
      <x:c r="C47" s="45" t="str">
        <x:v>H01</x:v>
      </x:c>
      <x:c r="D47" s="47" t="str">
        <x:v>项目节点完成和绩效</x:v>
      </x:c>
      <x:c r="E47" s="47" t="str">
        <x:v>RD、APPROVER</x:v>
      </x:c>
      <x:c r="F47" s="48" t="str">
        <x:v>主流程项目详情 → 当前节点；随后进入“成员绩效看板”。</x:v>
      </x:c>
      <x:c r="G47" s="48" t="str">
        <x:v>1. 在当前项目节点填写结果备注并提交完成。
2. 需要审批时由 APPROVER 通过。
3. 确认项目进入下一节点。
4. 打开成员绩效看板，按主流程项目和成员筛选。
5. 核对项目等级、成员工作量占比和轨道归属。</x:v>
      </x:c>
      <x:c r="H47" s="48" t="str">
        <x:v>节点推进成功；绩效记录和成员占比来源正确；销售轨和研发轨不混淆。</x:v>
      </x:c>
      <x:c r="I47" s="48" t="str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52" customHeight="1">
      <x:c r="A48" s="45" t="n">
        <x:v>42</x:v>
      </x:c>
      <x:c r="B48" s="45" t="str">
        <x:v>H 项目闭环、发布和看板</x:v>
      </x:c>
      <x:c r="C48" s="45" t="str">
        <x:v>H02</x:v>
      </x:c>
      <x:c r="D48" s="47" t="str">
        <x:v>项目报告和附件</x:v>
      </x:c>
      <x:c r="E48" s="47" t="str">
        <x:v>RD</x:v>
      </x:c>
      <x:c r="F48" s="48" t="str">
        <x:v>主流程项目详情 → “导出报告”及附件区域。</x:v>
      </x:c>
      <x:c r="G48" s="48" t="str">
        <x:v>1. 导出项目报告。
2. 检查项目信息、成员、阶段、配方、工单和测试结果。
3. 下载 D06 上传的测试附件并核对文件内容。
4. 如系统支持 CAD 预览，使用专用测试 CAD 文件验证预览。</x:v>
      </x:c>
      <x:c r="H48" s="48" t="str">
        <x:v>报告可打开且数据与页面一致；附件可下载；预览失败时有清晰提示。</x:v>
      </x:c>
      <x:c r="I48" s="48" t="str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65" customHeight="1">
      <x:c r="A49" s="45" t="n">
        <x:v>43</x:v>
      </x:c>
      <x:c r="B49" s="45" t="str">
        <x:v>H 项目闭环、发布和看板</x:v>
      </x:c>
      <x:c r="C49" s="45" t="str">
        <x:v>H03</x:v>
      </x:c>
      <x:c r="D49" s="47" t="str">
        <x:v>发布成品材料</x:v>
      </x:c>
      <x:c r="E49" s="47" t="str">
        <x:v>RD 或材料发布人员</x:v>
      </x:c>
      <x:c r="F49" s="48" t="str">
        <x:v>材料成品库 → 成品材料列表/详情。</x:v>
      </x:c>
      <x:c r="G49" s="48" t="str">
        <x:v>1. 将 G10 的代表性测试结果整理到 C01 成品性能数据中。
2. 核对中英文名称、应用场景、特性、加工条件和公开附件。
3. 确认页面不包含内部备注、配方成本或敏感信息。
4. 执行“对外发布”。
5. 在列表确认发布状态。</x:v>
      </x:c>
      <x:c r="H49" s="48" t="str">
        <x:v>材料发布成功；公开数据完整；内部敏感数据没有进入公开字段。</x:v>
      </x:c>
      <x:c r="I49" s="48" t="str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65" customHeight="1">
      <x:c r="A50" s="45" t="n">
        <x:v>44</x:v>
      </x:c>
      <x:c r="B50" s="45" t="str">
        <x:v>H 项目闭环、发布和看板</x:v>
      </x:c>
      <x:c r="C50" s="45" t="str">
        <x:v>H04</x:v>
      </x:c>
      <x:c r="D50" s="47" t="str">
        <x:v>产品电子手册公开和会员视图</x:v>
      </x:c>
      <x:c r="E50" s="47" t="str">
        <x:v>未登录访客、MEMBER</x:v>
      </x:c>
      <x:c r="F50" s="48" t="str">
        <x:v>打开管理员提供的产品电子手册入口。</x:v>
      </x:c>
      <x:c r="G50" s="48" t="str">
        <x:v>1. 未登录时按场景、类型、特性和关键词查找 C01 成品。
2. 打开产品详情，记录公开可见字段。
3. 使用 MEMBER 登录。
4. 再次打开产品，查看受保护物性和 TDS/SDS 下载。
5. 下载测试文件并确认文件可打开。</x:v>
      </x:c>
      <x:c r="H50" s="48" t="str">
        <x:v>只有已发布材料可见；访客与会员字段范围不同；会员下载成功；内部成本、客户和配方数据不可见。</x:v>
      </x:c>
      <x:c r="I50" s="48" t="str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52" customHeight="1">
      <x:c r="A51" s="45" t="n">
        <x:v>45</x:v>
      </x:c>
      <x:c r="B51" s="45" t="str">
        <x:v>H 项目闭环、发布和看板</x:v>
      </x:c>
      <x:c r="C51" s="45" t="str">
        <x:v>H05</x:v>
      </x:c>
      <x:c r="D51" s="47" t="str">
        <x:v>看板、统计和客户行为</x:v>
      </x:c>
      <x:c r="E51" s="47" t="str">
        <x:v>RD、SALES、ADMIN</x:v>
      </x:c>
      <x:c r="F51" s="48" t="str">
        <x:v>点击左侧菜单“看板工作台”。</x:v>
      </x:c>
      <x:c r="G51" s="48" t="str">
        <x:v>1. 打开个人工作台，核对项目、表单草稿/提交、待办和通知。
2. 打开系统总览，核对项目和工单统计。
3. 打开项目看板，按负责人、阶段或状态查找主流程项目。
4. 打开客户行为分析，查找 MEMBER 对 H04 产品的浏览和下载记录。</x:v>
      </x:c>
      <x:c r="H51" s="48" t="str">
        <x:v>看板数据与业务详情一致；不同角色只能看到授权范围；会员行为能够追溯到对应产品。</x:v>
      </x:c>
      <x:c r="I51" s="48" t="str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65" customHeight="1">
      <x:c r="A52" s="45" t="n">
        <x:v>46</x:v>
      </x:c>
      <x:c r="B52" s="45" t="str">
        <x:v>H 项目闭环、发布和看板</x:v>
      </x:c>
      <x:c r="C52" s="45" t="str">
        <x:v>H06</x:v>
      </x:c>
      <x:c r="D52" s="47" t="str">
        <x:v>通知、已读和业务落地页</x:v>
      </x:c>
      <x:c r="E52" s="47" t="str">
        <x:v>所有参与账号</x:v>
      </x:c>
      <x:c r="F52" s="48" t="str">
        <x:v>点击右上角通知铃铛 → “查看所有消息”。</x:v>
      </x:c>
      <x:c r="G52" s="48" t="str">
        <x:v>1. 核对项目审批、工单、表单和任务通知。
2. 点击单条消息，确认标记已读并跳到正确业务对象。
3. 返回通知列表，确认未读数量减少。
4. 使用“全部标记为已读”。
5. 切换账号，确认通知互相隔离。</x:v>
      </x:c>
      <x:c r="H52" s="48" t="str">
        <x:v>通知内容、接收人、已读状态和落地页正确；账号间无数据泄露。</x:v>
      </x:c>
      <x:c r="I52" s="48" t="str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52" customHeight="1">
      <x:c r="A53" s="45" t="n">
        <x:v>47</x:v>
      </x:c>
      <x:c r="B53" s="45" t="str">
        <x:v>I 扩展业务流程</x:v>
      </x:c>
      <x:c r="C53" s="45" t="str">
        <x:v>I01</x:v>
      </x:c>
      <x:c r="D53" s="47" t="str">
        <x:v>项目异常和迭代节点</x:v>
      </x:c>
      <x:c r="E53" s="47" t="str">
        <x:v>RD</x:v>
      </x:c>
      <x:c r="F53" s="48" t="str">
        <x:v>异常项目详情 → 当前研发/小试/中试节点 → “申报异常”。</x:v>
      </x:c>
      <x:c r="G53" s="48" t="str">
        <x:v>1. 选择测试不合格原因并填写详细说明。
2. 提交一次异常。
3. 检查原节点状态和新增的迭代节点。
4. 确认阶段、轮次和当前节点正确。</x:v>
      </x:c>
      <x:c r="H53" s="48" t="str">
        <x:v>原节点被标记为异常；系统只新增一个符合规则的迭代节点；重复提交受到限制。</x:v>
      </x:c>
      <x:c r="I53" s="48" t="str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52" customHeight="1">
      <x:c r="A54" s="45" t="n">
        <x:v>48</x:v>
      </x:c>
      <x:c r="B54" s="45" t="str">
        <x:v>I 扩展业务流程</x:v>
      </x:c>
      <x:c r="C54" s="45" t="str">
        <x:v>I02</x:v>
      </x:c>
      <x:c r="D54" s="47" t="str">
        <x:v>基础预研失败迭代</x:v>
      </x:c>
      <x:c r="E54" s="47" t="str">
        <x:v>RD</x:v>
      </x:c>
      <x:c r="F54" s="48" t="str">
        <x:v>D01 预研项目详情 → 实验阶段 → 失败/异常操作。</x:v>
      </x:c>
      <x:c r="G54" s="48" t="str">
        <x:v>1. 推进到实验验证阶段。
2. 填写失败原因并提交。
3. 检查下一轮实验节点是否创建。
4. 确认预研项目仍可关联配方。</x:v>
      </x:c>
      <x:c r="H54" s="48" t="str">
        <x:v>实验失败记录可追溯；轮次正确增加；原节点不被覆盖。</x:v>
      </x:c>
      <x:c r="I54" s="48" t="str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65" customHeight="1">
      <x:c r="A55" s="45" t="n">
        <x:v>49</x:v>
      </x:c>
      <x:c r="B55" s="45" t="str">
        <x:v>I 扩展业务流程</x:v>
      </x:c>
      <x:c r="C55" s="45" t="str">
        <x:v>I03</x:v>
      </x:c>
      <x:c r="D55" s="47" t="str">
        <x:v>客户竞品流程</x:v>
      </x:c>
      <x:c r="E55" s="47" t="str">
        <x:v>RD、INJECTION、TEST</x:v>
      </x:c>
      <x:c r="F55" s="48" t="str">
        <x:v>项目管理中心 → 打开专用竞品测试项目 → “配方过程” → “创建竞品工单”。</x:v>
      </x:c>
      <x:c r="G55" s="48" t="str">
        <x:v>1. 填写竞品公司、品牌、型号和 B01 客户。
2. 确认工单标记“跳过挤出”。
3. 审批/发单后确认不生成普通挤出任务。
4. 执行注塑、填写测试结果并回写竞品配方。
5. 在实验配方库确认“客户竞品”标识和追溯信息。</x:v>
      </x:c>
      <x:c r="H55" s="48" t="str">
        <x:v>竞品流程跳过挤出但保留注塑和测试链路；竞品配方、客户和工单可相互追溯。</x:v>
      </x:c>
      <x:c r="I55" s="48" t="str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52" customHeight="1">
      <x:c r="A56" s="45" t="n">
        <x:v>50</x:v>
      </x:c>
      <x:c r="B56" s="45" t="str">
        <x:v>I 扩展业务流程</x:v>
      </x:c>
      <x:c r="C56" s="45" t="str">
        <x:v>I04</x:v>
      </x:c>
      <x:c r="D56" s="47" t="str">
        <x:v>项目信息编辑审批拒绝</x:v>
      </x:c>
      <x:c r="E56" s="47" t="str">
        <x:v>RD、APPROVER</x:v>
      </x:c>
      <x:c r="F56" s="48" t="str">
        <x:v>测试项目详情 → “编辑”。</x:v>
      </x:c>
      <x:c r="G56" s="48" t="str">
        <x:v>1. 修改项目描述并填写提交意见。
2. 发起变更审批。
3. 使用 APPROVER 驳回并填写原因。
4. 返回项目详情和变更记录。</x:v>
      </x:c>
      <x:c r="H56" s="48" t="str">
        <x:v>正式项目描述保持原值；变更记录显示已拒绝和审批意见；项目可再次发起合法变更。</x:v>
      </x:c>
      <x:c r="I56" s="48" t="str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52" customHeight="1">
      <x:c r="A57" s="45" t="n">
        <x:v>51</x:v>
      </x:c>
      <x:c r="B57" s="45" t="str">
        <x:v>I 扩展业务流程</x:v>
      </x:c>
      <x:c r="C57" s="45" t="str">
        <x:v>I05</x:v>
      </x:c>
      <x:c r="D57" s="47" t="str">
        <x:v>流程任务转交</x:v>
      </x:c>
      <x:c r="E57" s="47" t="str">
        <x:v>两个审批账号</x:v>
      </x:c>
      <x:c r="F57" s="48" t="str">
        <x:v>流程审批中心 → “我的待办任务” → 打开任务。</x:v>
      </x:c>
      <x:c r="G57" s="48" t="str">
        <x:v>1. 将任务转交给另一个有资格的审批账号。
2. 原审批账号刷新待办列表。
3. 新审批账号确认收到待办并完成审批。
4. 在流程历史中核对转交记录。</x:v>
      </x:c>
      <x:c r="H57" s="48" t="str">
        <x:v>任务只由新处理人继续办理；转交人、接收人和时间完整；业务流程正常完成。</x:v>
      </x:c>
      <x:c r="I57" s="48" t="str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42" customHeight="1">
      <x:c r="A58" s="45" t="n">
        <x:v>52</x:v>
      </x:c>
      <x:c r="B58" s="45" t="str">
        <x:v>J 异常、边界和安全验证</x:v>
      </x:c>
      <x:c r="C58" s="45" t="str">
        <x:v>J01</x:v>
      </x:c>
      <x:c r="D58" s="47" t="str">
        <x:v>必填和数据类型校验</x:v>
      </x:c>
      <x:c r="E58" s="47" t="str">
        <x:v>按模块权限执行</x:v>
      </x:c>
      <x:c r="F58" s="48" t="str">
        <x:v>按任务说明进入对应业务详情页</x:v>
      </x:c>
      <x:c r="G58" s="48" t="str">
        <x:v>1. 留空必填字段并提交。
2. 在数值字段输入文字，在范围字段输入最小值大于最大值。
3. 在下拉搜索框只输入文字但不选择结果。</x:v>
      </x:c>
      <x:c r="H58" s="48" t="str">
        <x:v>页面停留在当前表单；错误定位到具体字段；用户已填写的其他数据不会无故丢失。</x:v>
      </x:c>
      <x:c r="I58" s="48" t="str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42" customHeight="1">
      <x:c r="A59" s="45" t="n">
        <x:v>53</x:v>
      </x:c>
      <x:c r="B59" s="45" t="str">
        <x:v>J 异常、边界和安全验证</x:v>
      </x:c>
      <x:c r="C59" s="45" t="str">
        <x:v>J02</x:v>
      </x:c>
      <x:c r="D59" s="47" t="str">
        <x:v>重复和唯一性校验</x:v>
      </x:c>
      <x:c r="E59" s="47" t="str">
        <x:v>按模块权限执行</x:v>
      </x:c>
      <x:c r="F59" s="48" t="str">
        <x:v>按任务说明进入对应业务详情页</x:v>
      </x:c>
      <x:c r="G59" s="48" t="str">
        <x:v>1. 尝试创建重复内部物料编码的原材料。
2. 尝试创建重复编号的模具。
3. 尝试重复提交同一状态操作或连续双击提交按钮。</x:v>
      </x:c>
      <x:c r="H59" s="48" t="str">
        <x:v>唯一字段重复被阻止；不会产生重复业务对象、重复流程或重复任务。</x:v>
      </x:c>
      <x:c r="I59" s="48" t="str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42" customHeight="1">
      <x:c r="A60" s="45" t="n">
        <x:v>54</x:v>
      </x:c>
      <x:c r="B60" s="45" t="str">
        <x:v>J 异常、边界和安全验证</x:v>
      </x:c>
      <x:c r="C60" s="45" t="str">
        <x:v>J03</x:v>
      </x:c>
      <x:c r="D60" s="47" t="str">
        <x:v>缺少前置数据</x:v>
      </x:c>
      <x:c r="E60" s="47" t="str">
        <x:v>按模块权限执行</x:v>
      </x:c>
      <x:c r="F60" s="48" t="str">
        <x:v>按任务说明进入对应业务详情页</x:v>
      </x:c>
      <x:c r="G60" s="48" t="str">
        <x:v>1. 创建没有价格记录的专用原材料并加入测试配方非零 BOM 行。
2. 查看预测成本和均价成本。
3. 尝试创建缺少有效工艺、模具或测试项的工单。</x:v>
      </x:c>
      <x:c r="H60" s="48" t="str">
        <x:v>配方成本显示为空而非偏低值；工单页面阻止缺少必须数据的提交，或给出明确提示。</x:v>
      </x:c>
      <x:c r="I60" s="48" t="str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42" customHeight="1">
      <x:c r="A61" s="45" t="n">
        <x:v>55</x:v>
      </x:c>
      <x:c r="B61" s="45" t="str">
        <x:v>J 异常、边界和安全验证</x:v>
      </x:c>
      <x:c r="C61" s="45" t="str">
        <x:v>J04</x:v>
      </x:c>
      <x:c r="D61" s="47" t="str">
        <x:v>锁定和引用保护</x:v>
      </x:c>
      <x:c r="E61" s="47" t="str">
        <x:v>按模块权限执行</x:v>
      </x:c>
      <x:c r="F61" s="48" t="str">
        <x:v>按任务说明进入对应业务详情页</x:v>
      </x:c>
      <x:c r="G61" s="48" t="str">
        <x:v>1. 对已进入挤出的实验单尝试修改 BOM 或删除版本。
2. 对已被 BOM 引用的原材料尝试删除。
3. 对已产生测试结果的测试标准尝试删除。</x:v>
      </x:c>
      <x:c r="H61" s="48" t="str">
        <x:v>系统按锁定级别和 PROTECT 关系阻止操作；历史业务数据保持可读。</x:v>
      </x:c>
      <x:c r="I61" s="48" t="str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52" customHeight="1">
      <x:c r="A62" s="45" t="n">
        <x:v>56</x:v>
      </x:c>
      <x:c r="B62" s="45" t="str">
        <x:v>J 异常、边界和安全验证</x:v>
      </x:c>
      <x:c r="C62" s="45" t="str">
        <x:v>J05</x:v>
      </x:c>
      <x:c r="D62" s="47" t="str">
        <x:v>账号隔离和直接访问</x:v>
      </x:c>
      <x:c r="E62" s="47" t="str">
        <x:v>按模块权限执行</x:v>
      </x:c>
      <x:c r="F62" s="48" t="str">
        <x:v>按任务说明进入对应业务详情页</x:v>
      </x:c>
      <x:c r="G62" s="48" t="str">
        <x:v>1. 使用 VIEWER 打开自己有权查看的对象。
2. 尝试访问其他部门/工作组的测试对象。
3. 尝试直接打开无权限的编辑页面。
4. 尝试查看其他账号的通知、草稿或待办。</x:v>
      </x:c>
      <x:c r="H62" s="48" t="str">
        <x:v>数据范围和操作权限都生效；直接访问不能绕过菜单权限；个人数据按账号隔离。</x:v>
      </x:c>
      <x:c r="I62" s="48" t="str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65" customHeight="1">
      <x:c r="A63" s="45" t="n">
        <x:v>57</x:v>
      </x:c>
      <x:c r="B63" s="45" t="str">
        <x:v>J 异常、边界和安全验证</x:v>
      </x:c>
      <x:c r="C63" s="45" t="str">
        <x:v>J06</x:v>
      </x:c>
      <x:c r="D63" s="47" t="str">
        <x:v>会话和密码</x:v>
      </x:c>
      <x:c r="E63" s="47" t="str">
        <x:v>专用测试账号</x:v>
      </x:c>
      <x:c r="F63" s="48" t="str">
        <x:v>右上角头像/用户名 → “个人中心” → “修改密码”。</x:v>
      </x:c>
      <x:c r="G63" s="48" t="str">
        <x:v>1. 输入错误旧密码并提交，确认失败。
2. 输入两次不一致的新密码，确认失败。
3. 输入正确旧密码和符合规则的新密码并提交。
4. 退出登录，使用新密码登录。
5. 完成后按测试账号管理规则恢复预定密码。</x:v>
      </x:c>
      <x:c r="H63" s="48" t="str">
        <x:v>错误场景有明确提示；成功后新密码生效；退出后受保护页面不能继续访问。</x:v>
      </x:c>
      <x:c r="I63" s="48" t="str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52" customHeight="1">
      <x:c r="A64" s="45" t="n">
        <x:v>58</x:v>
      </x:c>
      <x:c r="B64" s="45" t="str">
        <x:v>K 受控高风险任务</x:v>
      </x:c>
      <x:c r="C64" s="45" t="str">
        <x:v>K01</x:v>
      </x:c>
      <x:c r="D64" s="47" t="str">
        <x:v>SAP 入库</x:v>
      </x:c>
      <x:c r="E64" s="47" t="str">
        <x:v>PROCESS、库存负责人</x:v>
      </x:c>
      <x:c r="F64" s="48" t="str">
        <x:v>成品颗粒库存 → 测试批次详情 → “SAP 入库”。</x:v>
      </x:c>
      <x:c r="G64" s="48" t="str">
        <x:v>1. 确认当前环境允许测试入库，且使用专用 SAP 物料号、批次和库位。
2. 核对数量、日期和来源工单。
3. 提交一次，不重复点击。
4. 核对库存状态和外部返回结果。</x:v>
      </x:c>
      <x:c r="H64" s="48" t="str">
        <x:v>只影响专用测试批次；成功/失败反馈清晰；重复入库受到限制。</x:v>
      </x:c>
      <x:c r="I64" s="48" t="str">
        <x:v>风险：可能形成正式库存记录或调用外部系统。</x:v>
      </x:c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52" customHeight="1">
      <x:c r="A65" s="45" t="n">
        <x:v>59</x:v>
      </x:c>
      <x:c r="B65" s="45" t="str">
        <x:v>K 受控高风险任务</x:v>
      </x:c>
      <x:c r="C65" s="45" t="str">
        <x:v>K02</x:v>
      </x:c>
      <x:c r="D65" s="47" t="str">
        <x:v>手动完成并回写</x:v>
      </x:c>
      <x:c r="E65" s="47" t="str">
        <x:v>TEST、RD</x:v>
      </x:c>
      <x:c r="F65" s="48" t="str">
        <x:v>按任务说明进入对应业务详情页</x:v>
      </x:c>
      <x:c r="G65" s="48" t="str">
        <x:v>1. 填写备注说明缺项原因。
2. 点击“手动完成并回写”。
3. 核对任务结束状态和已填写数据的回写结果。
4. 确认未填写项没有生成虚假结果。</x:v>
      </x:c>
      <x:c r="H65" s="48" t="str">
        <x:v>仅回写已有数据；缺项保持可识别；操作人和备注可追溯。</x:v>
      </x:c>
      <x:c r="I65" s="48" t="str">
        <x:v>风险：允许测试项目不完整并结束任务。</x:v>
      </x:c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52" customHeight="1">
      <x:c r="A66" s="45" t="n">
        <x:v>60</x:v>
      </x:c>
      <x:c r="B66" s="45" t="str">
        <x:v>K 受控高风险任务</x:v>
      </x:c>
      <x:c r="C66" s="45" t="str">
        <x:v>K03</x:v>
      </x:c>
      <x:c r="D66" s="47" t="str">
        <x:v>项目终止</x:v>
      </x:c>
      <x:c r="E66" s="47" t="str">
        <x:v>RD、APPROVER</x:v>
      </x:c>
      <x:c r="F66" s="48" t="str">
        <x:v>按任务说明进入对应业务详情页</x:v>
      </x:c>
      <x:c r="G66" s="48" t="str">
        <x:v>1. 在当前节点发起客户意见/终止操作。
2. 选择测试意见类型，填写终止原因。
3. 提交前记录全部节点。
4. 确认终止后项目状态和剩余节点。</x:v>
      </x:c>
      <x:c r="H66" s="48" t="str">
        <x:v>项目终止原因可追溯；后续未开始节点按规则处理；其他项目不受影响。</x:v>
      </x:c>
      <x:c r="I66" s="48" t="str">
        <x:v>风险：会改变项目生命周期并删除后续未开始节点。</x:v>
      </x:c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42" customHeight="1">
      <x:c r="A67" s="45" t="n">
        <x:v>61</x:v>
      </x:c>
      <x:c r="B67" s="45" t="str">
        <x:v>K 受控高风险任务</x:v>
      </x:c>
      <x:c r="C67" s="45" t="str">
        <x:v>K04</x:v>
      </x:c>
      <x:c r="D67" s="47" t="str">
        <x:v>删除测试草稿和附件</x:v>
      </x:c>
      <x:c r="E67" s="47" t="str">
        <x:v>ADMIN、数据负责人</x:v>
      </x:c>
      <x:c r="F67" s="48" t="str">
        <x:v>按任务说明进入对应业务详情页</x:v>
      </x:c>
      <x:c r="G67" s="48" t="str">
        <x:v>1. 删除一条未提交的测试表单草稿。
2. 删除一份专用测试附件。
3. 尝试删除已被引用的原材料或配方，确认系统阻止后立即停止。</x:v>
      </x:c>
      <x:c r="H67" s="48" t="str">
        <x:v>未引用的专用测试数据可按权限删除；被引用数据受到保护；删除范围准确。</x:v>
      </x:c>
      <x:c r="I67" s="48" t="str">
        <x:v>风险：删除后可能无法恢复。</x:v>
      </x:c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a80101dcfd714193"/>
  </x:tableParts>
</x:worksheet>
</file>

<file path=xl/worksheets/sheet4.xml><?xml version="1.0" encoding="utf-8"?>
<x:worksheet xmlns:x="http://schemas.openxmlformats.org/spreadsheetml/2006/main">
  <x:sheetPr>
    <x:tabColor rgb="FF7A665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40" hidden="0" customWidth="1"/>
    <x:col min="3" max="3" width="16" hidden="0" customWidth="1"/>
    <x:col min="4" max="4" width="19" hidden="0" customWidth="1"/>
    <x:col min="5" max="5" width="36" hidden="0" customWidth="1"/>
    <x:col min="6" max="6" width="14" hidden="0" customWidth="1"/>
    <x:col min="7" max="7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27" customHeight="1">
      <x:c r="A2" s="3" t="str">
        <x:v>端到端测试前置数据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38" customHeight="1">
      <x:c r="A3" s="5" t="str">
        <x:v>先记录本轮实际使用的数据名称或编号。缺失项应按来源任务补建，状态未达到“已就绪”时不要进入依赖它的后续任务。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2" customHeight="1">
      <x:c r="A6" s="43" t="str">
        <x:v>类别</x:v>
      </x:c>
      <x:c r="B6" s="43" t="str">
        <x:v>前置项</x:v>
      </x:c>
      <x:c r="C6" s="43" t="str">
        <x:v>来源任务</x:v>
      </x:c>
      <x:c r="D6" s="43" t="str">
        <x:v>负责人</x:v>
      </x:c>
      <x:c r="E6" s="43" t="str">
        <x:v>本次使用的数据/编号</x:v>
      </x:c>
      <x:c r="F6" s="43" t="str">
        <x:v>准备状态</x:v>
      </x:c>
      <x:c r="G6" s="43" t="str">
        <x:v>备注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8" customHeight="1">
      <x:c r="A7" s="44" t="str">
        <x:v>环境与权限</x:v>
      </x:c>
      <x:c r="B7" s="48" t="str">
        <x:v>测试环境、批次号、账号、部门、工作组和角色</x:v>
      </x:c>
      <x:c r="C7" s="44" t="str">
        <x:v>A01–A04</x:v>
      </x:c>
      <x:c r="D7" s="44" t="str">
        <x:v>ADMIN</x:v>
      </x:c>
      <x:c r="E7" s="50" t="str"/>
      <x:c r="F7" s="50" t="str">
        <x:v>未准备</x:v>
      </x:c>
      <x:c r="G7" s="50" t="str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8" customHeight="1">
      <x:c r="A8" s="44" t="str">
        <x:v>基础分类</x:v>
      </x:c>
      <x:c r="B8" s="48" t="str">
        <x:v>材料类型、应用场景、材料特性和测试标准</x:v>
      </x:c>
      <x:c r="C8" s="44" t="str">
        <x:v>A05</x:v>
      </x:c>
      <x:c r="D8" s="44" t="str">
        <x:v>ADMIN</x:v>
      </x:c>
      <x:c r="E8" s="50" t="str"/>
      <x:c r="F8" s="50" t="str">
        <x:v>未准备</x:v>
      </x:c>
      <x:c r="G8" s="50" t="str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8" customHeight="1">
      <x:c r="A9" s="44" t="str">
        <x:v>项目配置</x:v>
      </x:c>
      <x:c r="B9" s="48" t="str">
        <x:v>项目等级、业务板块、不合格原因和客户意见类型</x:v>
      </x:c>
      <x:c r="C9" s="44" t="str">
        <x:v>A05</x:v>
      </x:c>
      <x:c r="D9" s="44" t="str">
        <x:v>ADMIN</x:v>
      </x:c>
      <x:c r="E9" s="50" t="str"/>
      <x:c r="F9" s="50" t="str">
        <x:v>未准备</x:v>
      </x:c>
      <x:c r="G9" s="50" t="str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8" customHeight="1">
      <x:c r="A10" s="44" t="str">
        <x:v>流程与表单</x:v>
      </x:c>
      <x:c r="B10" s="48" t="str">
        <x:v>项目/工单/表单审批流程、审批人和动态表单模板</x:v>
      </x:c>
      <x:c r="C10" s="44" t="str">
        <x:v>A06–A07</x:v>
      </x:c>
      <x:c r="D10" s="44" t="str">
        <x:v>ADMIN</x:v>
      </x:c>
      <x:c r="E10" s="50" t="str"/>
      <x:c r="F10" s="50" t="str">
        <x:v>未准备</x:v>
      </x:c>
      <x:c r="G10" s="50" t="str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8" customHeight="1">
      <x:c r="A11" s="44" t="str">
        <x:v>原材料</x:v>
      </x:c>
      <x:c r="B11" s="48" t="str">
        <x:v>原材料 A、原材料 B、色粉 C 和供应商</x:v>
      </x:c>
      <x:c r="C11" s="44" t="str">
        <x:v>A08</x:v>
      </x:c>
      <x:c r="D11" s="44" t="str">
        <x:v>RD</x:v>
      </x:c>
      <x:c r="E11" s="50" t="str"/>
      <x:c r="F11" s="50" t="str">
        <x:v>未准备</x:v>
      </x:c>
      <x:c r="G11" s="50" t="str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8" customHeight="1">
      <x:c r="A12" s="44" t="str">
        <x:v>价格</x:v>
      </x:c>
      <x:c r="B12" s="48" t="str">
        <x:v>各原材料历史价格、工厂范围和缺价样本</x:v>
      </x:c>
      <x:c r="C12" s="44" t="str">
        <x:v>A09</x:v>
      </x:c>
      <x:c r="D12" s="44" t="str">
        <x:v>价格管理员</x:v>
      </x:c>
      <x:c r="E12" s="50" t="str"/>
      <x:c r="F12" s="50" t="str">
        <x:v>未准备</x:v>
      </x:c>
      <x:c r="G12" s="50" t="str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8" customHeight="1">
      <x:c r="A13" s="44" t="str">
        <x:v>挤出工艺</x:v>
      </x:c>
      <x:c r="B13" s="48" t="str">
        <x:v>挤出机台、螺杆组合和工艺方案</x:v>
      </x:c>
      <x:c r="C13" s="44" t="str">
        <x:v>A10</x:v>
      </x:c>
      <x:c r="D13" s="44" t="str">
        <x:v>PROCESS</x:v>
      </x:c>
      <x:c r="E13" s="50" t="str"/>
      <x:c r="F13" s="50" t="str">
        <x:v>未准备</x:v>
      </x:c>
      <x:c r="G13" s="50" t="str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48" customHeight="1">
      <x:c r="A14" s="44" t="str">
        <x:v>注塑模具</x:v>
      </x:c>
      <x:c r="B14" s="48" t="str">
        <x:v>可用模具和维护中模具</x:v>
      </x:c>
      <x:c r="C14" s="44" t="str">
        <x:v>A11</x:v>
      </x:c>
      <x:c r="D14" s="44" t="str">
        <x:v>INJECTION</x:v>
      </x:c>
      <x:c r="E14" s="50" t="str"/>
      <x:c r="F14" s="50" t="str">
        <x:v>未准备</x:v>
      </x:c>
      <x:c r="G14" s="50" t="str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9" t="str">
        <x:v>主链业务数据记录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2" customHeight="1">
      <x:c r="A19" s="43" t="str">
        <x:v>类别</x:v>
      </x:c>
      <x:c r="B19" s="43" t="str">
        <x:v>前置项</x:v>
      </x:c>
      <x:c r="C19" s="43" t="str">
        <x:v>来源任务</x:v>
      </x:c>
      <x:c r="D19" s="43" t="str">
        <x:v>负责人</x:v>
      </x:c>
      <x:c r="E19" s="43" t="str">
        <x:v>本次使用的数据/编号</x:v>
      </x:c>
      <x:c r="F19" s="43" t="str">
        <x:v>准备状态</x:v>
      </x:c>
      <x:c r="G19" s="43" t="str">
        <x:v>备注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54" customHeight="1">
      <x:c r="A20" s="44" t="str">
        <x:v>客户</x:v>
      </x:c>
      <x:c r="B20" s="48" t="str">
        <x:v>客户、OEM、联系人和销售归属</x:v>
      </x:c>
      <x:c r="C20" s="44" t="str">
        <x:v>B01</x:v>
      </x:c>
      <x:c r="D20" s="44" t="str">
        <x:v>SALES</x:v>
      </x:c>
      <x:c r="E20" s="50" t="str"/>
      <x:c r="F20" s="50" t="str">
        <x:v>未准备</x:v>
      </x:c>
      <x:c r="G20" s="50" t="str">
        <x:v>后续用于 D04 项目商务档案</x:v>
      </x:c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54" customHeight="1">
      <x:c r="A21" s="44" t="str">
        <x:v>成品材料</x:v>
      </x:c>
      <x:c r="B21" s="48" t="str">
        <x:v>目标成品牌号、SAP 物料号、材料分类和性能数据</x:v>
      </x:c>
      <x:c r="C21" s="44" t="str">
        <x:v>C01</x:v>
      </x:c>
      <x:c r="D21" s="44" t="str">
        <x:v>RD</x:v>
      </x:c>
      <x:c r="E21" s="50" t="str"/>
      <x:c r="F21" s="50" t="str">
        <x:v>未准备</x:v>
      </x:c>
      <x:c r="G21" s="50" t="str">
        <x:v>后续用于 D02 创建研发项目</x:v>
      </x:c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54" customHeight="1">
      <x:c r="A22" s="44" t="str">
        <x:v>项目</x:v>
      </x:c>
      <x:c r="B22" s="48" t="str">
        <x:v>项目编码、客户/OEM、成品材料、负责人和当前节点</x:v>
      </x:c>
      <x:c r="C22" s="44" t="str">
        <x:v>D02–D05</x:v>
      </x:c>
      <x:c r="D22" s="44" t="str">
        <x:v>RD、SALES</x:v>
      </x:c>
      <x:c r="E22" s="50" t="str"/>
      <x:c r="F22" s="50" t="str">
        <x:v>未准备</x:v>
      </x:c>
      <x:c r="G22" s="50" t="str">
        <x:v>项目汇合客户与成品材料</x:v>
      </x:c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54" customHeight="1">
      <x:c r="A23" s="44" t="str">
        <x:v>配方</x:v>
      </x:c>
      <x:c r="B23" s="48" t="str">
        <x:v>实验单号、V1/V2、主 BOM、色粉 BOM 和成本</x:v>
      </x:c>
      <x:c r="C23" s="44" t="str">
        <x:v>E01–E04</x:v>
      </x:c>
      <x:c r="D23" s="44" t="str">
        <x:v>RD、COLOR</x:v>
      </x:c>
      <x:c r="E23" s="50" t="str"/>
      <x:c r="F23" s="50" t="str">
        <x:v>未准备</x:v>
      </x:c>
      <x:c r="G23" s="50" t="str">
        <x:v>后续用于 F01 创建工单</x:v>
      </x:c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54" customHeight="1">
      <x:c r="A24" s="44" t="str">
        <x:v>工单与排产</x:v>
      </x:c>
      <x:c r="B24" s="48" t="str">
        <x:v>工单编号、审批状态、操作员和起止时间</x:v>
      </x:c>
      <x:c r="C24" s="44" t="str">
        <x:v>F01–F05</x:v>
      </x:c>
      <x:c r="D24" s="44" t="str">
        <x:v>RD、PROCESS</x:v>
      </x:c>
      <x:c r="E24" s="50" t="str"/>
      <x:c r="F24" s="50" t="str">
        <x:v>未准备</x:v>
      </x:c>
      <x:c r="G24" s="50" t="str">
        <x:v>后续用于 G 阶段生产执行</x:v>
      </x:c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54" customHeight="1">
      <x:c r="A25" s="44" t="str">
        <x:v>生产与测试</x:v>
      </x:c>
      <x:c r="B25" s="48" t="str">
        <x:v>颗粒/样条批次、测试任务、测试结果和回写状态</x:v>
      </x:c>
      <x:c r="C25" s="44" t="str">
        <x:v>G01–G11</x:v>
      </x:c>
      <x:c r="D25" s="44" t="str">
        <x:v>PROCESS、INJECTION、TEST</x:v>
      </x:c>
      <x:c r="E25" s="50" t="str"/>
      <x:c r="F25" s="50" t="str">
        <x:v>未准备</x:v>
      </x:c>
      <x:c r="G25" s="50" t="str">
        <x:v>形成端到端闭环</x:v>
      </x:c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A2:G2"/>
    <x:mergeCell ref="A3:G3"/>
    <x:mergeCell ref="A17:G17"/>
  </x:mergeCells>
  <x:conditionalFormatting sqref="F7:F14">
    <x:cfRule type="containsText" dxfId="9" priority="1" operator="containsText" text="已就绪"/>
    <x:cfRule type="containsText" dxfId="10" priority="2" operator="containsText" text="准备中"/>
    <x:cfRule type="containsText" dxfId="11" priority="3" operator="containsText" text="未准备"/>
    <x:cfRule type="containsText" dxfId="12" priority="4" operator="containsText" text="不适用"/>
  </x:conditionalFormatting>
  <x:conditionalFormatting sqref="F20:F25">
    <x:cfRule type="containsText" dxfId="13" priority="5" operator="containsText" text="已就绪"/>
    <x:cfRule type="containsText" dxfId="14" priority="6" operator="containsText" text="准备中"/>
    <x:cfRule type="containsText" dxfId="15" priority="7" operator="containsText" text="未准备"/>
    <x:cfRule type="containsText" dxfId="16" priority="8" operator="containsText" text="不适用"/>
  </x:conditionalFormatting>
  <x:dataValidations count="2">
    <x:dataValidation type="list" sqref="F7:F14">
      <x:formula1>"未准备,准备中,已就绪,不适用"</x:formula1>
    </x:dataValidation>
    <x:dataValidation type="list" sqref="F20:F25">
      <x:formula1>"未准备,准备中,已就绪,不适用"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541929a5f66a4f4e"/>
    <x:tablePart xmlns:r="http://schemas.openxmlformats.org/officeDocument/2006/relationships" r:id="Rc81ae2b8396e4db1"/>
  </x:tableParts>
</x:worksheet>
</file>

<file path=xl/worksheets/sheet5.xml><?xml version="1.0" encoding="utf-8"?>
<x:worksheet xmlns:x="http://schemas.openxmlformats.org/spreadsheetml/2006/main">
  <x:sheetPr>
    <x:tabColor rgb="FF6A5F7A"/>
  </x:sheetPr>
  <x:sheetViews>
    <x:sheetView showGridLines="0" workbookViewId="0">
      <x:pane xSplit="9" ySplit="6" topLeftCell="J7" activePane="bottomRight" state="frozen"/>
    </x:sheetView>
  </x:sheetViews>
  <x:sheetFormatPr defaultRowHeight="15"/>
  <x:cols>
    <x:col min="1" max="1" width="8" hidden="0" customWidth="1"/>
    <x:col min="2" max="2" width="14" hidden="0" customWidth="1"/>
    <x:col min="3" max="3" width="30" hidden="0" customWidth="1"/>
    <x:col min="4" max="4" width="20" hidden="0" customWidth="1"/>
    <x:col min="5" max="5" width="16" hidden="0" customWidth="1"/>
    <x:col min="6" max="6" width="14" hidden="0" customWidth="1"/>
    <x:col min="7" max="7" width="12" hidden="0" customWidth="1"/>
    <x:col min="8" max="8" width="10" hidden="0" customWidth="1"/>
    <x:col min="9" max="9" width="11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  <x:col min="34" max="34" width="9" hidden="0" customWidth="1"/>
    <x:col min="35" max="35" width="9" hidden="0" customWidth="1"/>
    <x:col min="36" max="36" width="9" hidden="0" customWidth="1"/>
    <x:col min="37" max="37" width="9" hidden="0" customWidth="1"/>
    <x:col min="38" max="38" width="9" hidden="0" customWidth="1"/>
    <x:col min="39" max="39" width="9" hidden="0" customWidth="1"/>
    <x:col min="40" max="40" width="9" hidden="0" customWidth="1"/>
    <x:col min="41" max="41" width="9" hidden="0" customWidth="1"/>
    <x:col min="42" max="42" width="9" hidden="0" customWidth="1"/>
    <x:col min="43" max="43" width="9" hidden="0" customWidth="1"/>
    <x:col min="44" max="44" width="9" hidden="0" customWidth="1"/>
    <x:col min="45" max="45" width="9" hidden="0" customWidth="1"/>
    <x:col min="46" max="46" width="9" hidden="0" customWidth="1"/>
    <x:col min="47" max="47" width="9" hidden="0" customWidth="1"/>
    <x:col min="48" max="48" width="9" hidden="0" customWidth="1"/>
    <x:col min="49" max="49" width="9" hidden="0" customWidth="1"/>
    <x:col min="50" max="50" width="9" hidden="0" customWidth="1"/>
    <x:col min="51" max="51" width="9" hidden="0" customWidth="1"/>
    <x:col min="52" max="52" width="9" hidden="0" customWidth="1"/>
    <x:col min="53" max="53" width="9" hidden="0" customWidth="1"/>
    <x:col min="54" max="54" width="9" hidden="0" customWidth="1"/>
    <x:col min="55" max="55" width="9" hidden="0" customWidth="1"/>
    <x:col min="56" max="56" width="9" hidden="0" customWidth="1"/>
    <x:col min="57" max="57" width="9" hidden="0" customWidth="1"/>
    <x:col min="58" max="58" width="9" hidden="0" customWidth="1"/>
    <x:col min="59" max="59" width="9" hidden="0" customWidth="1"/>
    <x:col min="60" max="60" width="9" hidden="0" customWidth="1"/>
    <x:col min="61" max="61" width="9" hidden="0" customWidth="1"/>
    <x:col min="62" max="62" width="9" hidden="0" customWidth="1"/>
    <x:col min="63" max="63" width="9" hidden="0" customWidth="1"/>
    <x:col min="64" max="64" width="9" hidden="0" customWidth="1"/>
    <x:col min="65" max="65" width="9" hidden="0" customWidth="1"/>
    <x:col min="66" max="66" width="9" hidden="0" customWidth="1"/>
    <x:col min="67" max="67" width="9" hidden="0" customWidth="1"/>
    <x:col min="68" max="68" width="9" hidden="0" customWidth="1"/>
    <x:col min="69" max="69" width="9" hidden="0" customWidth="1"/>
    <x:col min="70" max="70" width="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</x:row>
    <x:row r="2" ht="27" customHeight="1">
      <x:c r="A2" s="3" t="str">
        <x:v>用户任务完成矩阵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</x:row>
    <x:row r="3" ht="30" customHeight="1">
      <x:c r="A3" s="5" t="str">
        <x:v>用户数据来源：系统数据库 app_user.User，提取时间 2026-09-18 15:04。任务格选择“未完成、完成或不适用”，完成数和完成率自动计算。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</x:row>
    <x:row r="4">
      <x:c r="A4" s="55" t="str">
        <x:v>注册用户</x:v>
      </x:c>
      <x:c r="B4" s="56" t="n">
        <x:v>26</x:v>
      </x:c>
      <x:c r="C4" s="57" t="str"/>
      <x:c r="D4" s="55" t="str">
        <x:v>启用账号</x:v>
      </x:c>
      <x:c r="E4" s="56" t="n">
        <x:f>COUNTIFS($G$7:$G$32,"启用")</x:f>
        <x:v>26</x:v>
      </x:c>
      <x:c r="F4" s="57" t="str"/>
      <x:c r="G4" s="55" t="str">
        <x:v>已完成记录</x:v>
      </x:c>
      <x:c r="H4" s="56" t="n">
        <x:f>COUNTIFS($J$7:$BR$32,"完成")</x:f>
        <x:v>0</x:v>
      </x:c>
      <x:c r="I4" s="57" t="str"/>
      <x:c r="J4" s="55" t="str">
        <x:v>总体完成率</x:v>
      </x:c>
      <x:c r="K4" s="58" t="n">
        <x:f>IF((COUNTA($A$7:$A$32)*61-COUNTIFS($J$7:$BR$32,"不适用"))=0,0,H4/(COUNTA($A$7:$A$32)*61-COUNTIFS($J$7:$BR$32,"不适用")))</x:f>
        <x:v>0</x:v>
      </x:c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</x:row>
    <x:row r="5" ht="25" customHeight="1">
      <x:c r="A5" s="64" t="str">
        <x:v>用户信息与完成汇总</x:v>
      </x:c>
      <x:c r="B5" s="65"/>
      <x:c r="C5" s="65"/>
      <x:c r="D5" s="65"/>
      <x:c r="E5" s="65"/>
      <x:c r="F5" s="65"/>
      <x:c r="G5" s="65"/>
      <x:c r="H5" s="65"/>
      <x:c r="I5" s="66"/>
      <x:c r="J5" s="72" t="str">
        <x:v>阶段 A</x:v>
      </x:c>
      <x:c r="K5" s="73"/>
      <x:c r="L5" s="73"/>
      <x:c r="M5" s="73"/>
      <x:c r="N5" s="73"/>
      <x:c r="O5" s="73"/>
      <x:c r="P5" s="73"/>
      <x:c r="Q5" s="73"/>
      <x:c r="R5" s="73"/>
      <x:c r="S5" s="73"/>
      <x:c r="T5" s="74"/>
      <x:c r="U5" s="78" t="str">
        <x:v>阶段 B</x:v>
      </x:c>
      <x:c r="V5" s="82" t="str">
        <x:v>阶段 C</x:v>
      </x:c>
      <x:c r="W5" s="88" t="str">
        <x:v>阶段 D</x:v>
      </x:c>
      <x:c r="X5" s="89"/>
      <x:c r="Y5" s="89"/>
      <x:c r="Z5" s="89"/>
      <x:c r="AA5" s="89"/>
      <x:c r="AB5" s="89"/>
      <x:c r="AC5" s="90"/>
      <x:c r="AD5" s="96" t="str">
        <x:v>阶段 E</x:v>
      </x:c>
      <x:c r="AE5" s="97"/>
      <x:c r="AF5" s="97"/>
      <x:c r="AG5" s="98"/>
      <x:c r="AH5" s="104" t="str">
        <x:v>阶段 F</x:v>
      </x:c>
      <x:c r="AI5" s="105"/>
      <x:c r="AJ5" s="105"/>
      <x:c r="AK5" s="105"/>
      <x:c r="AL5" s="106"/>
      <x:c r="AM5" s="112" t="str">
        <x:v>阶段 G</x:v>
      </x:c>
      <x:c r="AN5" s="113"/>
      <x:c r="AO5" s="113"/>
      <x:c r="AP5" s="113"/>
      <x:c r="AQ5" s="113"/>
      <x:c r="AR5" s="113"/>
      <x:c r="AS5" s="113"/>
      <x:c r="AT5" s="113"/>
      <x:c r="AU5" s="113"/>
      <x:c r="AV5" s="113"/>
      <x:c r="AW5" s="114"/>
      <x:c r="AX5" s="120" t="str">
        <x:v>阶段 H</x:v>
      </x:c>
      <x:c r="AY5" s="121"/>
      <x:c r="AZ5" s="121"/>
      <x:c r="BA5" s="121"/>
      <x:c r="BB5" s="121"/>
      <x:c r="BC5" s="122"/>
      <x:c r="BD5" s="128" t="str">
        <x:v>阶段 I</x:v>
      </x:c>
      <x:c r="BE5" s="129"/>
      <x:c r="BF5" s="129"/>
      <x:c r="BG5" s="129"/>
      <x:c r="BH5" s="130"/>
      <x:c r="BI5" s="136" t="str">
        <x:v>阶段 J</x:v>
      </x:c>
      <x:c r="BJ5" s="137"/>
      <x:c r="BK5" s="137"/>
      <x:c r="BL5" s="137"/>
      <x:c r="BM5" s="137"/>
      <x:c r="BN5" s="138"/>
      <x:c r="BO5" s="144" t="str">
        <x:v>阶段 K</x:v>
      </x:c>
      <x:c r="BP5" s="145"/>
      <x:c r="BQ5" s="145"/>
      <x:c r="BR5" s="146"/>
    </x:row>
    <x:row r="6" ht="32" customHeight="1">
      <x:c r="A6" s="148" t="str">
        <x:v>用户ID</x:v>
      </x:c>
      <x:c r="B6" s="148" t="str">
        <x:v>用户名</x:v>
      </x:c>
      <x:c r="C6" s="148" t="str">
        <x:v>邮箱</x:v>
      </x:c>
      <x:c r="D6" s="148" t="str">
        <x:v>角色</x:v>
      </x:c>
      <x:c r="E6" s="148" t="str">
        <x:v>部门</x:v>
      </x:c>
      <x:c r="F6" s="148" t="str">
        <x:v>基地</x:v>
      </x:c>
      <x:c r="G6" s="148" t="str">
        <x:v>账号状态</x:v>
      </x:c>
      <x:c r="H6" s="148" t="str">
        <x:v>完成数</x:v>
      </x:c>
      <x:c r="I6" s="148" t="str">
        <x:v>完成率</x:v>
      </x:c>
      <x:c r="J6" s="149" t="str">
        <x:v>A01</x:v>
      </x:c>
      <x:c r="K6" s="149" t="str">
        <x:v>A02</x:v>
      </x:c>
      <x:c r="L6" s="149" t="str">
        <x:v>A03</x:v>
      </x:c>
      <x:c r="M6" s="149" t="str">
        <x:v>A04</x:v>
      </x:c>
      <x:c r="N6" s="149" t="str">
        <x:v>A05</x:v>
      </x:c>
      <x:c r="O6" s="149" t="str">
        <x:v>A06</x:v>
      </x:c>
      <x:c r="P6" s="149" t="str">
        <x:v>A07</x:v>
      </x:c>
      <x:c r="Q6" s="149" t="str">
        <x:v>A08</x:v>
      </x:c>
      <x:c r="R6" s="149" t="str">
        <x:v>A09</x:v>
      </x:c>
      <x:c r="S6" s="149" t="str">
        <x:v>A10</x:v>
      </x:c>
      <x:c r="T6" s="149" t="str">
        <x:v>A11</x:v>
      </x:c>
      <x:c r="U6" s="150" t="str">
        <x:v>B01</x:v>
      </x:c>
      <x:c r="V6" s="151" t="str">
        <x:v>C01</x:v>
      </x:c>
      <x:c r="W6" s="152" t="str">
        <x:v>D01</x:v>
      </x:c>
      <x:c r="X6" s="152" t="str">
        <x:v>D02</x:v>
      </x:c>
      <x:c r="Y6" s="152" t="str">
        <x:v>D03</x:v>
      </x:c>
      <x:c r="Z6" s="152" t="str">
        <x:v>D04</x:v>
      </x:c>
      <x:c r="AA6" s="152" t="str">
        <x:v>D05</x:v>
      </x:c>
      <x:c r="AB6" s="152" t="str">
        <x:v>D06</x:v>
      </x:c>
      <x:c r="AC6" s="152" t="str">
        <x:v>D07</x:v>
      </x:c>
      <x:c r="AD6" s="153" t="str">
        <x:v>E01</x:v>
      </x:c>
      <x:c r="AE6" s="153" t="str">
        <x:v>E02</x:v>
      </x:c>
      <x:c r="AF6" s="153" t="str">
        <x:v>E03</x:v>
      </x:c>
      <x:c r="AG6" s="153" t="str">
        <x:v>E04</x:v>
      </x:c>
      <x:c r="AH6" s="154" t="str">
        <x:v>F01</x:v>
      </x:c>
      <x:c r="AI6" s="154" t="str">
        <x:v>F02</x:v>
      </x:c>
      <x:c r="AJ6" s="154" t="str">
        <x:v>F03</x:v>
      </x:c>
      <x:c r="AK6" s="154" t="str">
        <x:v>F04</x:v>
      </x:c>
      <x:c r="AL6" s="154" t="str">
        <x:v>F05</x:v>
      </x:c>
      <x:c r="AM6" s="155" t="str">
        <x:v>G01</x:v>
      </x:c>
      <x:c r="AN6" s="155" t="str">
        <x:v>G02</x:v>
      </x:c>
      <x:c r="AO6" s="155" t="str">
        <x:v>G03</x:v>
      </x:c>
      <x:c r="AP6" s="155" t="str">
        <x:v>G04</x:v>
      </x:c>
      <x:c r="AQ6" s="155" t="str">
        <x:v>G05</x:v>
      </x:c>
      <x:c r="AR6" s="155" t="str">
        <x:v>G06</x:v>
      </x:c>
      <x:c r="AS6" s="155" t="str">
        <x:v>G07</x:v>
      </x:c>
      <x:c r="AT6" s="155" t="str">
        <x:v>G08</x:v>
      </x:c>
      <x:c r="AU6" s="155" t="str">
        <x:v>G09</x:v>
      </x:c>
      <x:c r="AV6" s="155" t="str">
        <x:v>G10</x:v>
      </x:c>
      <x:c r="AW6" s="155" t="str">
        <x:v>G11</x:v>
      </x:c>
      <x:c r="AX6" s="156" t="str">
        <x:v>H01</x:v>
      </x:c>
      <x:c r="AY6" s="156" t="str">
        <x:v>H02</x:v>
      </x:c>
      <x:c r="AZ6" s="156" t="str">
        <x:v>H03</x:v>
      </x:c>
      <x:c r="BA6" s="156" t="str">
        <x:v>H04</x:v>
      </x:c>
      <x:c r="BB6" s="156" t="str">
        <x:v>H05</x:v>
      </x:c>
      <x:c r="BC6" s="156" t="str">
        <x:v>H06</x:v>
      </x:c>
      <x:c r="BD6" s="157" t="str">
        <x:v>I01</x:v>
      </x:c>
      <x:c r="BE6" s="157" t="str">
        <x:v>I02</x:v>
      </x:c>
      <x:c r="BF6" s="157" t="str">
        <x:v>I03</x:v>
      </x:c>
      <x:c r="BG6" s="157" t="str">
        <x:v>I04</x:v>
      </x:c>
      <x:c r="BH6" s="157" t="str">
        <x:v>I05</x:v>
      </x:c>
      <x:c r="BI6" s="158" t="str">
        <x:v>J01</x:v>
      </x:c>
      <x:c r="BJ6" s="158" t="str">
        <x:v>J02</x:v>
      </x:c>
      <x:c r="BK6" s="158" t="str">
        <x:v>J03</x:v>
      </x:c>
      <x:c r="BL6" s="158" t="str">
        <x:v>J04</x:v>
      </x:c>
      <x:c r="BM6" s="158" t="str">
        <x:v>J05</x:v>
      </x:c>
      <x:c r="BN6" s="158" t="str">
        <x:v>J06</x:v>
      </x:c>
      <x:c r="BO6" s="159" t="str">
        <x:v>K01</x:v>
      </x:c>
      <x:c r="BP6" s="159" t="str">
        <x:v>K02</x:v>
      </x:c>
      <x:c r="BQ6" s="159" t="str">
        <x:v>K03</x:v>
      </x:c>
      <x:c r="BR6" s="159" t="str">
        <x:v>K04</x:v>
      </x:c>
    </x:row>
    <x:row r="7" ht="27" customHeight="1">
      <x:c r="A7" s="45" t="n">
        <x:v>1</x:v>
      </x:c>
      <x:c r="B7" s="2" t="str">
        <x:v>admin</x:v>
      </x:c>
      <x:c r="C7" s="2" t="str">
        <x:v>admin@admin.com</x:v>
      </x:c>
      <x:c r="D7" s="2" t="str">
        <x:v>未分配角色</x:v>
      </x:c>
      <x:c r="E7" s="2" t="str">
        <x:v>未分配部门</x:v>
      </x:c>
      <x:c r="F7" s="2" t="str">
        <x:v>未分配基地</x:v>
      </x:c>
      <x:c r="G7" s="45" t="str">
        <x:v>启用</x:v>
      </x:c>
      <x:c r="H7" s="160" t="n">
        <x:f>COUNTIFS(J7:BR7,"完成")</x:f>
        <x:v>0</x:v>
      </x:c>
      <x:c r="I7" s="161" t="n">
        <x:f>IF((61-COUNTIFS(J7:BR7,"不适用"))=0,0,H7/(61-COUNTIFS(J7:BR7,"不适用")))</x:f>
        <x:v>0</x:v>
      </x:c>
      <x:c r="J7" s="162" t="str">
        <x:v>未完成</x:v>
      </x:c>
      <x:c r="K7" s="162" t="str">
        <x:v>未完成</x:v>
      </x:c>
      <x:c r="L7" s="162" t="str">
        <x:v>未完成</x:v>
      </x:c>
      <x:c r="M7" s="162" t="str">
        <x:v>未完成</x:v>
      </x:c>
      <x:c r="N7" s="162" t="str">
        <x:v>未完成</x:v>
      </x:c>
      <x:c r="O7" s="162" t="str">
        <x:v>未完成</x:v>
      </x:c>
      <x:c r="P7" s="162" t="str">
        <x:v>未完成</x:v>
      </x:c>
      <x:c r="Q7" s="162" t="str">
        <x:v>未完成</x:v>
      </x:c>
      <x:c r="R7" s="162" t="str">
        <x:v>未完成</x:v>
      </x:c>
      <x:c r="S7" s="162" t="str">
        <x:v>未完成</x:v>
      </x:c>
      <x:c r="T7" s="162" t="str">
        <x:v>未完成</x:v>
      </x:c>
      <x:c r="U7" s="162" t="str">
        <x:v>未完成</x:v>
      </x:c>
      <x:c r="V7" s="162" t="str">
        <x:v>未完成</x:v>
      </x:c>
      <x:c r="W7" s="162" t="str">
        <x:v>未完成</x:v>
      </x:c>
      <x:c r="X7" s="162" t="str">
        <x:v>未完成</x:v>
      </x:c>
      <x:c r="Y7" s="162" t="str">
        <x:v>未完成</x:v>
      </x:c>
      <x:c r="Z7" s="162" t="str">
        <x:v>未完成</x:v>
      </x:c>
      <x:c r="AA7" s="162" t="str">
        <x:v>未完成</x:v>
      </x:c>
      <x:c r="AB7" s="162" t="str">
        <x:v>未完成</x:v>
      </x:c>
      <x:c r="AC7" s="162" t="str">
        <x:v>未完成</x:v>
      </x:c>
      <x:c r="AD7" s="162" t="str">
        <x:v>未完成</x:v>
      </x:c>
      <x:c r="AE7" s="162" t="str">
        <x:v>未完成</x:v>
      </x:c>
      <x:c r="AF7" s="162" t="str">
        <x:v>未完成</x:v>
      </x:c>
      <x:c r="AG7" s="162" t="str">
        <x:v>未完成</x:v>
      </x:c>
      <x:c r="AH7" s="162" t="str">
        <x:v>未完成</x:v>
      </x:c>
      <x:c r="AI7" s="162" t="str">
        <x:v>未完成</x:v>
      </x:c>
      <x:c r="AJ7" s="162" t="str">
        <x:v>未完成</x:v>
      </x:c>
      <x:c r="AK7" s="162" t="str">
        <x:v>未完成</x:v>
      </x:c>
      <x:c r="AL7" s="162" t="str">
        <x:v>未完成</x:v>
      </x:c>
      <x:c r="AM7" s="162" t="str">
        <x:v>未完成</x:v>
      </x:c>
      <x:c r="AN7" s="162" t="str">
        <x:v>未完成</x:v>
      </x:c>
      <x:c r="AO7" s="162" t="str">
        <x:v>未完成</x:v>
      </x:c>
      <x:c r="AP7" s="162" t="str">
        <x:v>未完成</x:v>
      </x:c>
      <x:c r="AQ7" s="162" t="str">
        <x:v>未完成</x:v>
      </x:c>
      <x:c r="AR7" s="162" t="str">
        <x:v>未完成</x:v>
      </x:c>
      <x:c r="AS7" s="162" t="str">
        <x:v>未完成</x:v>
      </x:c>
      <x:c r="AT7" s="162" t="str">
        <x:v>未完成</x:v>
      </x:c>
      <x:c r="AU7" s="162" t="str">
        <x:v>未完成</x:v>
      </x:c>
      <x:c r="AV7" s="162" t="str">
        <x:v>未完成</x:v>
      </x:c>
      <x:c r="AW7" s="162" t="str">
        <x:v>未完成</x:v>
      </x:c>
      <x:c r="AX7" s="162" t="str">
        <x:v>未完成</x:v>
      </x:c>
      <x:c r="AY7" s="162" t="str">
        <x:v>未完成</x:v>
      </x:c>
      <x:c r="AZ7" s="162" t="str">
        <x:v>未完成</x:v>
      </x:c>
      <x:c r="BA7" s="162" t="str">
        <x:v>未完成</x:v>
      </x:c>
      <x:c r="BB7" s="162" t="str">
        <x:v>未完成</x:v>
      </x:c>
      <x:c r="BC7" s="162" t="str">
        <x:v>未完成</x:v>
      </x:c>
      <x:c r="BD7" s="162" t="str">
        <x:v>未完成</x:v>
      </x:c>
      <x:c r="BE7" s="162" t="str">
        <x:v>未完成</x:v>
      </x:c>
      <x:c r="BF7" s="162" t="str">
        <x:v>未完成</x:v>
      </x:c>
      <x:c r="BG7" s="162" t="str">
        <x:v>未完成</x:v>
      </x:c>
      <x:c r="BH7" s="162" t="str">
        <x:v>未完成</x:v>
      </x:c>
      <x:c r="BI7" s="162" t="str">
        <x:v>未完成</x:v>
      </x:c>
      <x:c r="BJ7" s="162" t="str">
        <x:v>未完成</x:v>
      </x:c>
      <x:c r="BK7" s="162" t="str">
        <x:v>未完成</x:v>
      </x:c>
      <x:c r="BL7" s="162" t="str">
        <x:v>未完成</x:v>
      </x:c>
      <x:c r="BM7" s="162" t="str">
        <x:v>未完成</x:v>
      </x:c>
      <x:c r="BN7" s="162" t="str">
        <x:v>未完成</x:v>
      </x:c>
      <x:c r="BO7" s="162" t="str">
        <x:v>未完成</x:v>
      </x:c>
      <x:c r="BP7" s="162" t="str">
        <x:v>未完成</x:v>
      </x:c>
      <x:c r="BQ7" s="162" t="str">
        <x:v>未完成</x:v>
      </x:c>
      <x:c r="BR7" s="162" t="str">
        <x:v>未完成</x:v>
      </x:c>
    </x:row>
    <x:row r="8" ht="27" customHeight="1">
      <x:c r="A8" s="45" t="n">
        <x:v>2</x:v>
      </x:c>
      <x:c r="B8" s="2" t="str">
        <x:v>具嘉峻</x:v>
      </x:c>
      <x:c r="C8" s="2" t="str">
        <x:v>jiajun.ju@sunwill.com.cn</x:v>
      </x:c>
      <x:c r="D8" s="2" t="str">
        <x:v>研发经理</x:v>
      </x:c>
      <x:c r="E8" s="2" t="str">
        <x:v>研发中心</x:v>
      </x:c>
      <x:c r="F8" s="2" t="str">
        <x:v>广东基地</x:v>
      </x:c>
      <x:c r="G8" s="45" t="str">
        <x:v>启用</x:v>
      </x:c>
      <x:c r="H8" s="160" t="n">
        <x:f>COUNTIFS(J8:BR8,"完成")</x:f>
        <x:v>0</x:v>
      </x:c>
      <x:c r="I8" s="161" t="n">
        <x:f>IF((61-COUNTIFS(J8:BR8,"不适用"))=0,0,H8/(61-COUNTIFS(J8:BR8,"不适用")))</x:f>
        <x:v>0</x:v>
      </x:c>
      <x:c r="J8" s="162" t="str">
        <x:v>未完成</x:v>
      </x:c>
      <x:c r="K8" s="162" t="str">
        <x:v>未完成</x:v>
      </x:c>
      <x:c r="L8" s="162" t="str">
        <x:v>未完成</x:v>
      </x:c>
      <x:c r="M8" s="162" t="str">
        <x:v>未完成</x:v>
      </x:c>
      <x:c r="N8" s="162" t="str">
        <x:v>未完成</x:v>
      </x:c>
      <x:c r="O8" s="162" t="str">
        <x:v>未完成</x:v>
      </x:c>
      <x:c r="P8" s="162" t="str">
        <x:v>未完成</x:v>
      </x:c>
      <x:c r="Q8" s="162" t="str">
        <x:v>未完成</x:v>
      </x:c>
      <x:c r="R8" s="162" t="str">
        <x:v>未完成</x:v>
      </x:c>
      <x:c r="S8" s="162" t="str">
        <x:v>未完成</x:v>
      </x:c>
      <x:c r="T8" s="162" t="str">
        <x:v>未完成</x:v>
      </x:c>
      <x:c r="U8" s="162" t="str">
        <x:v>未完成</x:v>
      </x:c>
      <x:c r="V8" s="162" t="str">
        <x:v>未完成</x:v>
      </x:c>
      <x:c r="W8" s="162" t="str">
        <x:v>未完成</x:v>
      </x:c>
      <x:c r="X8" s="162" t="str">
        <x:v>未完成</x:v>
      </x:c>
      <x:c r="Y8" s="162" t="str">
        <x:v>未完成</x:v>
      </x:c>
      <x:c r="Z8" s="162" t="str">
        <x:v>未完成</x:v>
      </x:c>
      <x:c r="AA8" s="162" t="str">
        <x:v>未完成</x:v>
      </x:c>
      <x:c r="AB8" s="162" t="str">
        <x:v>未完成</x:v>
      </x:c>
      <x:c r="AC8" s="162" t="str">
        <x:v>未完成</x:v>
      </x:c>
      <x:c r="AD8" s="162" t="str">
        <x:v>未完成</x:v>
      </x:c>
      <x:c r="AE8" s="162" t="str">
        <x:v>未完成</x:v>
      </x:c>
      <x:c r="AF8" s="162" t="str">
        <x:v>未完成</x:v>
      </x:c>
      <x:c r="AG8" s="162" t="str">
        <x:v>未完成</x:v>
      </x:c>
      <x:c r="AH8" s="162" t="str">
        <x:v>未完成</x:v>
      </x:c>
      <x:c r="AI8" s="162" t="str">
        <x:v>未完成</x:v>
      </x:c>
      <x:c r="AJ8" s="162" t="str">
        <x:v>未完成</x:v>
      </x:c>
      <x:c r="AK8" s="162" t="str">
        <x:v>未完成</x:v>
      </x:c>
      <x:c r="AL8" s="162" t="str">
        <x:v>未完成</x:v>
      </x:c>
      <x:c r="AM8" s="162" t="str">
        <x:v>未完成</x:v>
      </x:c>
      <x:c r="AN8" s="162" t="str">
        <x:v>未完成</x:v>
      </x:c>
      <x:c r="AO8" s="162" t="str">
        <x:v>未完成</x:v>
      </x:c>
      <x:c r="AP8" s="162" t="str">
        <x:v>未完成</x:v>
      </x:c>
      <x:c r="AQ8" s="162" t="str">
        <x:v>未完成</x:v>
      </x:c>
      <x:c r="AR8" s="162" t="str">
        <x:v>未完成</x:v>
      </x:c>
      <x:c r="AS8" s="162" t="str">
        <x:v>未完成</x:v>
      </x:c>
      <x:c r="AT8" s="162" t="str">
        <x:v>未完成</x:v>
      </x:c>
      <x:c r="AU8" s="162" t="str">
        <x:v>未完成</x:v>
      </x:c>
      <x:c r="AV8" s="162" t="str">
        <x:v>未完成</x:v>
      </x:c>
      <x:c r="AW8" s="162" t="str">
        <x:v>未完成</x:v>
      </x:c>
      <x:c r="AX8" s="162" t="str">
        <x:v>未完成</x:v>
      </x:c>
      <x:c r="AY8" s="162" t="str">
        <x:v>未完成</x:v>
      </x:c>
      <x:c r="AZ8" s="162" t="str">
        <x:v>未完成</x:v>
      </x:c>
      <x:c r="BA8" s="162" t="str">
        <x:v>未完成</x:v>
      </x:c>
      <x:c r="BB8" s="162" t="str">
        <x:v>未完成</x:v>
      </x:c>
      <x:c r="BC8" s="162" t="str">
        <x:v>未完成</x:v>
      </x:c>
      <x:c r="BD8" s="162" t="str">
        <x:v>未完成</x:v>
      </x:c>
      <x:c r="BE8" s="162" t="str">
        <x:v>未完成</x:v>
      </x:c>
      <x:c r="BF8" s="162" t="str">
        <x:v>未完成</x:v>
      </x:c>
      <x:c r="BG8" s="162" t="str">
        <x:v>未完成</x:v>
      </x:c>
      <x:c r="BH8" s="162" t="str">
        <x:v>未完成</x:v>
      </x:c>
      <x:c r="BI8" s="162" t="str">
        <x:v>未完成</x:v>
      </x:c>
      <x:c r="BJ8" s="162" t="str">
        <x:v>未完成</x:v>
      </x:c>
      <x:c r="BK8" s="162" t="str">
        <x:v>未完成</x:v>
      </x:c>
      <x:c r="BL8" s="162" t="str">
        <x:v>未完成</x:v>
      </x:c>
      <x:c r="BM8" s="162" t="str">
        <x:v>未完成</x:v>
      </x:c>
      <x:c r="BN8" s="162" t="str">
        <x:v>未完成</x:v>
      </x:c>
      <x:c r="BO8" s="162" t="str">
        <x:v>未完成</x:v>
      </x:c>
      <x:c r="BP8" s="162" t="str">
        <x:v>未完成</x:v>
      </x:c>
      <x:c r="BQ8" s="162" t="str">
        <x:v>未完成</x:v>
      </x:c>
      <x:c r="BR8" s="162" t="str">
        <x:v>未完成</x:v>
      </x:c>
    </x:row>
    <x:row r="9" ht="27" customHeight="1">
      <x:c r="A9" s="45" t="n">
        <x:v>3</x:v>
      </x:c>
      <x:c r="B9" s="2" t="str">
        <x:v>谢考能</x:v>
      </x:c>
      <x:c r="C9" s="2" t="str">
        <x:v>kaoneng.xie@sunwill.com.cn</x:v>
      </x:c>
      <x:c r="D9" s="2" t="str">
        <x:v>项目管理高级文员</x:v>
      </x:c>
      <x:c r="E9" s="2" t="str">
        <x:v>研发中心</x:v>
      </x:c>
      <x:c r="F9" s="2" t="str">
        <x:v>广东基地</x:v>
      </x:c>
      <x:c r="G9" s="45" t="str">
        <x:v>启用</x:v>
      </x:c>
      <x:c r="H9" s="160" t="n">
        <x:f>COUNTIFS(J9:BR9,"完成")</x:f>
        <x:v>0</x:v>
      </x:c>
      <x:c r="I9" s="161" t="n">
        <x:f>IF((61-COUNTIFS(J9:BR9,"不适用"))=0,0,H9/(61-COUNTIFS(J9:BR9,"不适用")))</x:f>
        <x:v>0</x:v>
      </x:c>
      <x:c r="J9" s="162" t="str">
        <x:v>未完成</x:v>
      </x:c>
      <x:c r="K9" s="162" t="str">
        <x:v>未完成</x:v>
      </x:c>
      <x:c r="L9" s="162" t="str">
        <x:v>未完成</x:v>
      </x:c>
      <x:c r="M9" s="162" t="str">
        <x:v>未完成</x:v>
      </x:c>
      <x:c r="N9" s="162" t="str">
        <x:v>未完成</x:v>
      </x:c>
      <x:c r="O9" s="162" t="str">
        <x:v>未完成</x:v>
      </x:c>
      <x:c r="P9" s="162" t="str">
        <x:v>未完成</x:v>
      </x:c>
      <x:c r="Q9" s="162" t="str">
        <x:v>未完成</x:v>
      </x:c>
      <x:c r="R9" s="162" t="str">
        <x:v>未完成</x:v>
      </x:c>
      <x:c r="S9" s="162" t="str">
        <x:v>未完成</x:v>
      </x:c>
      <x:c r="T9" s="162" t="str">
        <x:v>未完成</x:v>
      </x:c>
      <x:c r="U9" s="162" t="str">
        <x:v>未完成</x:v>
      </x:c>
      <x:c r="V9" s="162" t="str">
        <x:v>未完成</x:v>
      </x:c>
      <x:c r="W9" s="162" t="str">
        <x:v>未完成</x:v>
      </x:c>
      <x:c r="X9" s="162" t="str">
        <x:v>未完成</x:v>
      </x:c>
      <x:c r="Y9" s="162" t="str">
        <x:v>未完成</x:v>
      </x:c>
      <x:c r="Z9" s="162" t="str">
        <x:v>未完成</x:v>
      </x:c>
      <x:c r="AA9" s="162" t="str">
        <x:v>未完成</x:v>
      </x:c>
      <x:c r="AB9" s="162" t="str">
        <x:v>未完成</x:v>
      </x:c>
      <x:c r="AC9" s="162" t="str">
        <x:v>未完成</x:v>
      </x:c>
      <x:c r="AD9" s="162" t="str">
        <x:v>未完成</x:v>
      </x:c>
      <x:c r="AE9" s="162" t="str">
        <x:v>未完成</x:v>
      </x:c>
      <x:c r="AF9" s="162" t="str">
        <x:v>未完成</x:v>
      </x:c>
      <x:c r="AG9" s="162" t="str">
        <x:v>未完成</x:v>
      </x:c>
      <x:c r="AH9" s="162" t="str">
        <x:v>未完成</x:v>
      </x:c>
      <x:c r="AI9" s="162" t="str">
        <x:v>未完成</x:v>
      </x:c>
      <x:c r="AJ9" s="162" t="str">
        <x:v>未完成</x:v>
      </x:c>
      <x:c r="AK9" s="162" t="str">
        <x:v>未完成</x:v>
      </x:c>
      <x:c r="AL9" s="162" t="str">
        <x:v>未完成</x:v>
      </x:c>
      <x:c r="AM9" s="162" t="str">
        <x:v>未完成</x:v>
      </x:c>
      <x:c r="AN9" s="162" t="str">
        <x:v>未完成</x:v>
      </x:c>
      <x:c r="AO9" s="162" t="str">
        <x:v>未完成</x:v>
      </x:c>
      <x:c r="AP9" s="162" t="str">
        <x:v>未完成</x:v>
      </x:c>
      <x:c r="AQ9" s="162" t="str">
        <x:v>未完成</x:v>
      </x:c>
      <x:c r="AR9" s="162" t="str">
        <x:v>未完成</x:v>
      </x:c>
      <x:c r="AS9" s="162" t="str">
        <x:v>未完成</x:v>
      </x:c>
      <x:c r="AT9" s="162" t="str">
        <x:v>未完成</x:v>
      </x:c>
      <x:c r="AU9" s="162" t="str">
        <x:v>未完成</x:v>
      </x:c>
      <x:c r="AV9" s="162" t="str">
        <x:v>未完成</x:v>
      </x:c>
      <x:c r="AW9" s="162" t="str">
        <x:v>未完成</x:v>
      </x:c>
      <x:c r="AX9" s="162" t="str">
        <x:v>未完成</x:v>
      </x:c>
      <x:c r="AY9" s="162" t="str">
        <x:v>未完成</x:v>
      </x:c>
      <x:c r="AZ9" s="162" t="str">
        <x:v>未完成</x:v>
      </x:c>
      <x:c r="BA9" s="162" t="str">
        <x:v>未完成</x:v>
      </x:c>
      <x:c r="BB9" s="162" t="str">
        <x:v>未完成</x:v>
      </x:c>
      <x:c r="BC9" s="162" t="str">
        <x:v>未完成</x:v>
      </x:c>
      <x:c r="BD9" s="162" t="str">
        <x:v>未完成</x:v>
      </x:c>
      <x:c r="BE9" s="162" t="str">
        <x:v>未完成</x:v>
      </x:c>
      <x:c r="BF9" s="162" t="str">
        <x:v>未完成</x:v>
      </x:c>
      <x:c r="BG9" s="162" t="str">
        <x:v>未完成</x:v>
      </x:c>
      <x:c r="BH9" s="162" t="str">
        <x:v>未完成</x:v>
      </x:c>
      <x:c r="BI9" s="162" t="str">
        <x:v>未完成</x:v>
      </x:c>
      <x:c r="BJ9" s="162" t="str">
        <x:v>未完成</x:v>
      </x:c>
      <x:c r="BK9" s="162" t="str">
        <x:v>未完成</x:v>
      </x:c>
      <x:c r="BL9" s="162" t="str">
        <x:v>未完成</x:v>
      </x:c>
      <x:c r="BM9" s="162" t="str">
        <x:v>未完成</x:v>
      </x:c>
      <x:c r="BN9" s="162" t="str">
        <x:v>未完成</x:v>
      </x:c>
      <x:c r="BO9" s="162" t="str">
        <x:v>未完成</x:v>
      </x:c>
      <x:c r="BP9" s="162" t="str">
        <x:v>未完成</x:v>
      </x:c>
      <x:c r="BQ9" s="162" t="str">
        <x:v>未完成</x:v>
      </x:c>
      <x:c r="BR9" s="162" t="str">
        <x:v>未完成</x:v>
      </x:c>
    </x:row>
    <x:row r="10" ht="27" customHeight="1">
      <x:c r="A10" s="45" t="n">
        <x:v>4</x:v>
      </x:c>
      <x:c r="B10" s="2" t="str">
        <x:v>杨堃阳</x:v>
      </x:c>
      <x:c r="C10" s="2" t="str">
        <x:v>kunyang.yang@sunwill.com.cn</x:v>
      </x:c>
      <x:c r="D10" s="2" t="str">
        <x:v>研发工程师</x:v>
      </x:c>
      <x:c r="E10" s="2" t="str">
        <x:v>研发中心</x:v>
      </x:c>
      <x:c r="F10" s="2" t="str">
        <x:v>广东基地</x:v>
      </x:c>
      <x:c r="G10" s="45" t="str">
        <x:v>启用</x:v>
      </x:c>
      <x:c r="H10" s="160" t="n">
        <x:f>COUNTIFS(J10:BR10,"完成")</x:f>
        <x:v>0</x:v>
      </x:c>
      <x:c r="I10" s="161" t="n">
        <x:f>IF((61-COUNTIFS(J10:BR10,"不适用"))=0,0,H10/(61-COUNTIFS(J10:BR10,"不适用")))</x:f>
        <x:v>0</x:v>
      </x:c>
      <x:c r="J10" s="162" t="str">
        <x:v>未完成</x:v>
      </x:c>
      <x:c r="K10" s="162" t="str">
        <x:v>未完成</x:v>
      </x:c>
      <x:c r="L10" s="162" t="str">
        <x:v>未完成</x:v>
      </x:c>
      <x:c r="M10" s="162" t="str">
        <x:v>未完成</x:v>
      </x:c>
      <x:c r="N10" s="162" t="str">
        <x:v>未完成</x:v>
      </x:c>
      <x:c r="O10" s="162" t="str">
        <x:v>未完成</x:v>
      </x:c>
      <x:c r="P10" s="162" t="str">
        <x:v>未完成</x:v>
      </x:c>
      <x:c r="Q10" s="162" t="str">
        <x:v>未完成</x:v>
      </x:c>
      <x:c r="R10" s="162" t="str">
        <x:v>未完成</x:v>
      </x:c>
      <x:c r="S10" s="162" t="str">
        <x:v>未完成</x:v>
      </x:c>
      <x:c r="T10" s="162" t="str">
        <x:v>未完成</x:v>
      </x:c>
      <x:c r="U10" s="162" t="str">
        <x:v>未完成</x:v>
      </x:c>
      <x:c r="V10" s="162" t="str">
        <x:v>未完成</x:v>
      </x:c>
      <x:c r="W10" s="162" t="str">
        <x:v>未完成</x:v>
      </x:c>
      <x:c r="X10" s="162" t="str">
        <x:v>未完成</x:v>
      </x:c>
      <x:c r="Y10" s="162" t="str">
        <x:v>未完成</x:v>
      </x:c>
      <x:c r="Z10" s="162" t="str">
        <x:v>未完成</x:v>
      </x:c>
      <x:c r="AA10" s="162" t="str">
        <x:v>未完成</x:v>
      </x:c>
      <x:c r="AB10" s="162" t="str">
        <x:v>未完成</x:v>
      </x:c>
      <x:c r="AC10" s="162" t="str">
        <x:v>未完成</x:v>
      </x:c>
      <x:c r="AD10" s="162" t="str">
        <x:v>未完成</x:v>
      </x:c>
      <x:c r="AE10" s="162" t="str">
        <x:v>未完成</x:v>
      </x:c>
      <x:c r="AF10" s="162" t="str">
        <x:v>未完成</x:v>
      </x:c>
      <x:c r="AG10" s="162" t="str">
        <x:v>未完成</x:v>
      </x:c>
      <x:c r="AH10" s="162" t="str">
        <x:v>未完成</x:v>
      </x:c>
      <x:c r="AI10" s="162" t="str">
        <x:v>未完成</x:v>
      </x:c>
      <x:c r="AJ10" s="162" t="str">
        <x:v>未完成</x:v>
      </x:c>
      <x:c r="AK10" s="162" t="str">
        <x:v>未完成</x:v>
      </x:c>
      <x:c r="AL10" s="162" t="str">
        <x:v>未完成</x:v>
      </x:c>
      <x:c r="AM10" s="162" t="str">
        <x:v>未完成</x:v>
      </x:c>
      <x:c r="AN10" s="162" t="str">
        <x:v>未完成</x:v>
      </x:c>
      <x:c r="AO10" s="162" t="str">
        <x:v>未完成</x:v>
      </x:c>
      <x:c r="AP10" s="162" t="str">
        <x:v>未完成</x:v>
      </x:c>
      <x:c r="AQ10" s="162" t="str">
        <x:v>未完成</x:v>
      </x:c>
      <x:c r="AR10" s="162" t="str">
        <x:v>未完成</x:v>
      </x:c>
      <x:c r="AS10" s="162" t="str">
        <x:v>未完成</x:v>
      </x:c>
      <x:c r="AT10" s="162" t="str">
        <x:v>未完成</x:v>
      </x:c>
      <x:c r="AU10" s="162" t="str">
        <x:v>未完成</x:v>
      </x:c>
      <x:c r="AV10" s="162" t="str">
        <x:v>未完成</x:v>
      </x:c>
      <x:c r="AW10" s="162" t="str">
        <x:v>未完成</x:v>
      </x:c>
      <x:c r="AX10" s="162" t="str">
        <x:v>未完成</x:v>
      </x:c>
      <x:c r="AY10" s="162" t="str">
        <x:v>未完成</x:v>
      </x:c>
      <x:c r="AZ10" s="162" t="str">
        <x:v>未完成</x:v>
      </x:c>
      <x:c r="BA10" s="162" t="str">
        <x:v>未完成</x:v>
      </x:c>
      <x:c r="BB10" s="162" t="str">
        <x:v>未完成</x:v>
      </x:c>
      <x:c r="BC10" s="162" t="str">
        <x:v>未完成</x:v>
      </x:c>
      <x:c r="BD10" s="162" t="str">
        <x:v>未完成</x:v>
      </x:c>
      <x:c r="BE10" s="162" t="str">
        <x:v>未完成</x:v>
      </x:c>
      <x:c r="BF10" s="162" t="str">
        <x:v>未完成</x:v>
      </x:c>
      <x:c r="BG10" s="162" t="str">
        <x:v>未完成</x:v>
      </x:c>
      <x:c r="BH10" s="162" t="str">
        <x:v>未完成</x:v>
      </x:c>
      <x:c r="BI10" s="162" t="str">
        <x:v>未完成</x:v>
      </x:c>
      <x:c r="BJ10" s="162" t="str">
        <x:v>未完成</x:v>
      </x:c>
      <x:c r="BK10" s="162" t="str">
        <x:v>未完成</x:v>
      </x:c>
      <x:c r="BL10" s="162" t="str">
        <x:v>未完成</x:v>
      </x:c>
      <x:c r="BM10" s="162" t="str">
        <x:v>未完成</x:v>
      </x:c>
      <x:c r="BN10" s="162" t="str">
        <x:v>未完成</x:v>
      </x:c>
      <x:c r="BO10" s="162" t="str">
        <x:v>未完成</x:v>
      </x:c>
      <x:c r="BP10" s="162" t="str">
        <x:v>未完成</x:v>
      </x:c>
      <x:c r="BQ10" s="162" t="str">
        <x:v>未完成</x:v>
      </x:c>
      <x:c r="BR10" s="162" t="str">
        <x:v>未完成</x:v>
      </x:c>
    </x:row>
    <x:row r="11" ht="27" customHeight="1">
      <x:c r="A11" s="45" t="n">
        <x:v>5</x:v>
      </x:c>
      <x:c r="B11" s="2" t="str">
        <x:v>彭万</x:v>
      </x:c>
      <x:c r="C11" s="2" t="str">
        <x:v>st17@sunwill.com.cn</x:v>
      </x:c>
      <x:c r="D11" s="2" t="str">
        <x:v>研发工程师</x:v>
      </x:c>
      <x:c r="E11" s="2" t="str">
        <x:v>研发中心</x:v>
      </x:c>
      <x:c r="F11" s="2" t="str">
        <x:v>广东基地</x:v>
      </x:c>
      <x:c r="G11" s="45" t="str">
        <x:v>启用</x:v>
      </x:c>
      <x:c r="H11" s="160" t="n">
        <x:f>COUNTIFS(J11:BR11,"完成")</x:f>
        <x:v>0</x:v>
      </x:c>
      <x:c r="I11" s="161" t="n">
        <x:f>IF((61-COUNTIFS(J11:BR11,"不适用"))=0,0,H11/(61-COUNTIFS(J11:BR11,"不适用")))</x:f>
        <x:v>0</x:v>
      </x:c>
      <x:c r="J11" s="162" t="str">
        <x:v>未完成</x:v>
      </x:c>
      <x:c r="K11" s="162" t="str">
        <x:v>未完成</x:v>
      </x:c>
      <x:c r="L11" s="162" t="str">
        <x:v>未完成</x:v>
      </x:c>
      <x:c r="M11" s="162" t="str">
        <x:v>未完成</x:v>
      </x:c>
      <x:c r="N11" s="162" t="str">
        <x:v>未完成</x:v>
      </x:c>
      <x:c r="O11" s="162" t="str">
        <x:v>未完成</x:v>
      </x:c>
      <x:c r="P11" s="162" t="str">
        <x:v>未完成</x:v>
      </x:c>
      <x:c r="Q11" s="162" t="str">
        <x:v>未完成</x:v>
      </x:c>
      <x:c r="R11" s="162" t="str">
        <x:v>未完成</x:v>
      </x:c>
      <x:c r="S11" s="162" t="str">
        <x:v>未完成</x:v>
      </x:c>
      <x:c r="T11" s="162" t="str">
        <x:v>未完成</x:v>
      </x:c>
      <x:c r="U11" s="162" t="str">
        <x:v>未完成</x:v>
      </x:c>
      <x:c r="V11" s="162" t="str">
        <x:v>未完成</x:v>
      </x:c>
      <x:c r="W11" s="162" t="str">
        <x:v>未完成</x:v>
      </x:c>
      <x:c r="X11" s="162" t="str">
        <x:v>未完成</x:v>
      </x:c>
      <x:c r="Y11" s="162" t="str">
        <x:v>未完成</x:v>
      </x:c>
      <x:c r="Z11" s="162" t="str">
        <x:v>未完成</x:v>
      </x:c>
      <x:c r="AA11" s="162" t="str">
        <x:v>未完成</x:v>
      </x:c>
      <x:c r="AB11" s="162" t="str">
        <x:v>未完成</x:v>
      </x:c>
      <x:c r="AC11" s="162" t="str">
        <x:v>未完成</x:v>
      </x:c>
      <x:c r="AD11" s="162" t="str">
        <x:v>未完成</x:v>
      </x:c>
      <x:c r="AE11" s="162" t="str">
        <x:v>未完成</x:v>
      </x:c>
      <x:c r="AF11" s="162" t="str">
        <x:v>未完成</x:v>
      </x:c>
      <x:c r="AG11" s="162" t="str">
        <x:v>未完成</x:v>
      </x:c>
      <x:c r="AH11" s="162" t="str">
        <x:v>未完成</x:v>
      </x:c>
      <x:c r="AI11" s="162" t="str">
        <x:v>未完成</x:v>
      </x:c>
      <x:c r="AJ11" s="162" t="str">
        <x:v>未完成</x:v>
      </x:c>
      <x:c r="AK11" s="162" t="str">
        <x:v>未完成</x:v>
      </x:c>
      <x:c r="AL11" s="162" t="str">
        <x:v>未完成</x:v>
      </x:c>
      <x:c r="AM11" s="162" t="str">
        <x:v>未完成</x:v>
      </x:c>
      <x:c r="AN11" s="162" t="str">
        <x:v>未完成</x:v>
      </x:c>
      <x:c r="AO11" s="162" t="str">
        <x:v>未完成</x:v>
      </x:c>
      <x:c r="AP11" s="162" t="str">
        <x:v>未完成</x:v>
      </x:c>
      <x:c r="AQ11" s="162" t="str">
        <x:v>未完成</x:v>
      </x:c>
      <x:c r="AR11" s="162" t="str">
        <x:v>未完成</x:v>
      </x:c>
      <x:c r="AS11" s="162" t="str">
        <x:v>未完成</x:v>
      </x:c>
      <x:c r="AT11" s="162" t="str">
        <x:v>未完成</x:v>
      </x:c>
      <x:c r="AU11" s="162" t="str">
        <x:v>未完成</x:v>
      </x:c>
      <x:c r="AV11" s="162" t="str">
        <x:v>未完成</x:v>
      </x:c>
      <x:c r="AW11" s="162" t="str">
        <x:v>未完成</x:v>
      </x:c>
      <x:c r="AX11" s="162" t="str">
        <x:v>未完成</x:v>
      </x:c>
      <x:c r="AY11" s="162" t="str">
        <x:v>未完成</x:v>
      </x:c>
      <x:c r="AZ11" s="162" t="str">
        <x:v>未完成</x:v>
      </x:c>
      <x:c r="BA11" s="162" t="str">
        <x:v>未完成</x:v>
      </x:c>
      <x:c r="BB11" s="162" t="str">
        <x:v>未完成</x:v>
      </x:c>
      <x:c r="BC11" s="162" t="str">
        <x:v>未完成</x:v>
      </x:c>
      <x:c r="BD11" s="162" t="str">
        <x:v>未完成</x:v>
      </x:c>
      <x:c r="BE11" s="162" t="str">
        <x:v>未完成</x:v>
      </x:c>
      <x:c r="BF11" s="162" t="str">
        <x:v>未完成</x:v>
      </x:c>
      <x:c r="BG11" s="162" t="str">
        <x:v>未完成</x:v>
      </x:c>
      <x:c r="BH11" s="162" t="str">
        <x:v>未完成</x:v>
      </x:c>
      <x:c r="BI11" s="162" t="str">
        <x:v>未完成</x:v>
      </x:c>
      <x:c r="BJ11" s="162" t="str">
        <x:v>未完成</x:v>
      </x:c>
      <x:c r="BK11" s="162" t="str">
        <x:v>未完成</x:v>
      </x:c>
      <x:c r="BL11" s="162" t="str">
        <x:v>未完成</x:v>
      </x:c>
      <x:c r="BM11" s="162" t="str">
        <x:v>未完成</x:v>
      </x:c>
      <x:c r="BN11" s="162" t="str">
        <x:v>未完成</x:v>
      </x:c>
      <x:c r="BO11" s="162" t="str">
        <x:v>未完成</x:v>
      </x:c>
      <x:c r="BP11" s="162" t="str">
        <x:v>未完成</x:v>
      </x:c>
      <x:c r="BQ11" s="162" t="str">
        <x:v>未完成</x:v>
      </x:c>
      <x:c r="BR11" s="162" t="str">
        <x:v>未完成</x:v>
      </x:c>
    </x:row>
    <x:row r="12" ht="27" customHeight="1">
      <x:c r="A12" s="45" t="n">
        <x:v>6</x:v>
      </x:c>
      <x:c r="B12" s="2" t="str">
        <x:v>陈倩仪</x:v>
      </x:c>
      <x:c r="C12" s="2" t="str">
        <x:v>qianyi.chen@sunwill.com.cn</x:v>
      </x:c>
      <x:c r="D12" s="2" t="str">
        <x:v>测试工程师</x:v>
      </x:c>
      <x:c r="E12" s="2" t="str">
        <x:v>研发中心</x:v>
      </x:c>
      <x:c r="F12" s="2" t="str">
        <x:v>广东基地</x:v>
      </x:c>
      <x:c r="G12" s="45" t="str">
        <x:v>启用</x:v>
      </x:c>
      <x:c r="H12" s="160" t="n">
        <x:f>COUNTIFS(J12:BR12,"完成")</x:f>
        <x:v>0</x:v>
      </x:c>
      <x:c r="I12" s="161" t="n">
        <x:f>IF((61-COUNTIFS(J12:BR12,"不适用"))=0,0,H12/(61-COUNTIFS(J12:BR12,"不适用")))</x:f>
        <x:v>0</x:v>
      </x:c>
      <x:c r="J12" s="162" t="str">
        <x:v>未完成</x:v>
      </x:c>
      <x:c r="K12" s="162" t="str">
        <x:v>未完成</x:v>
      </x:c>
      <x:c r="L12" s="162" t="str">
        <x:v>未完成</x:v>
      </x:c>
      <x:c r="M12" s="162" t="str">
        <x:v>未完成</x:v>
      </x:c>
      <x:c r="N12" s="162" t="str">
        <x:v>未完成</x:v>
      </x:c>
      <x:c r="O12" s="162" t="str">
        <x:v>未完成</x:v>
      </x:c>
      <x:c r="P12" s="162" t="str">
        <x:v>未完成</x:v>
      </x:c>
      <x:c r="Q12" s="162" t="str">
        <x:v>未完成</x:v>
      </x:c>
      <x:c r="R12" s="162" t="str">
        <x:v>未完成</x:v>
      </x:c>
      <x:c r="S12" s="162" t="str">
        <x:v>未完成</x:v>
      </x:c>
      <x:c r="T12" s="162" t="str">
        <x:v>未完成</x:v>
      </x:c>
      <x:c r="U12" s="162" t="str">
        <x:v>未完成</x:v>
      </x:c>
      <x:c r="V12" s="162" t="str">
        <x:v>未完成</x:v>
      </x:c>
      <x:c r="W12" s="162" t="str">
        <x:v>未完成</x:v>
      </x:c>
      <x:c r="X12" s="162" t="str">
        <x:v>未完成</x:v>
      </x:c>
      <x:c r="Y12" s="162" t="str">
        <x:v>未完成</x:v>
      </x:c>
      <x:c r="Z12" s="162" t="str">
        <x:v>未完成</x:v>
      </x:c>
      <x:c r="AA12" s="162" t="str">
        <x:v>未完成</x:v>
      </x:c>
      <x:c r="AB12" s="162" t="str">
        <x:v>未完成</x:v>
      </x:c>
      <x:c r="AC12" s="162" t="str">
        <x:v>未完成</x:v>
      </x:c>
      <x:c r="AD12" s="162" t="str">
        <x:v>未完成</x:v>
      </x:c>
      <x:c r="AE12" s="162" t="str">
        <x:v>未完成</x:v>
      </x:c>
      <x:c r="AF12" s="162" t="str">
        <x:v>未完成</x:v>
      </x:c>
      <x:c r="AG12" s="162" t="str">
        <x:v>未完成</x:v>
      </x:c>
      <x:c r="AH12" s="162" t="str">
        <x:v>未完成</x:v>
      </x:c>
      <x:c r="AI12" s="162" t="str">
        <x:v>未完成</x:v>
      </x:c>
      <x:c r="AJ12" s="162" t="str">
        <x:v>未完成</x:v>
      </x:c>
      <x:c r="AK12" s="162" t="str">
        <x:v>未完成</x:v>
      </x:c>
      <x:c r="AL12" s="162" t="str">
        <x:v>未完成</x:v>
      </x:c>
      <x:c r="AM12" s="162" t="str">
        <x:v>未完成</x:v>
      </x:c>
      <x:c r="AN12" s="162" t="str">
        <x:v>未完成</x:v>
      </x:c>
      <x:c r="AO12" s="162" t="str">
        <x:v>未完成</x:v>
      </x:c>
      <x:c r="AP12" s="162" t="str">
        <x:v>未完成</x:v>
      </x:c>
      <x:c r="AQ12" s="162" t="str">
        <x:v>未完成</x:v>
      </x:c>
      <x:c r="AR12" s="162" t="str">
        <x:v>未完成</x:v>
      </x:c>
      <x:c r="AS12" s="162" t="str">
        <x:v>未完成</x:v>
      </x:c>
      <x:c r="AT12" s="162" t="str">
        <x:v>未完成</x:v>
      </x:c>
      <x:c r="AU12" s="162" t="str">
        <x:v>未完成</x:v>
      </x:c>
      <x:c r="AV12" s="162" t="str">
        <x:v>未完成</x:v>
      </x:c>
      <x:c r="AW12" s="162" t="str">
        <x:v>未完成</x:v>
      </x:c>
      <x:c r="AX12" s="162" t="str">
        <x:v>未完成</x:v>
      </x:c>
      <x:c r="AY12" s="162" t="str">
        <x:v>未完成</x:v>
      </x:c>
      <x:c r="AZ12" s="162" t="str">
        <x:v>未完成</x:v>
      </x:c>
      <x:c r="BA12" s="162" t="str">
        <x:v>未完成</x:v>
      </x:c>
      <x:c r="BB12" s="162" t="str">
        <x:v>未完成</x:v>
      </x:c>
      <x:c r="BC12" s="162" t="str">
        <x:v>未完成</x:v>
      </x:c>
      <x:c r="BD12" s="162" t="str">
        <x:v>未完成</x:v>
      </x:c>
      <x:c r="BE12" s="162" t="str">
        <x:v>未完成</x:v>
      </x:c>
      <x:c r="BF12" s="162" t="str">
        <x:v>未完成</x:v>
      </x:c>
      <x:c r="BG12" s="162" t="str">
        <x:v>未完成</x:v>
      </x:c>
      <x:c r="BH12" s="162" t="str">
        <x:v>未完成</x:v>
      </x:c>
      <x:c r="BI12" s="162" t="str">
        <x:v>未完成</x:v>
      </x:c>
      <x:c r="BJ12" s="162" t="str">
        <x:v>未完成</x:v>
      </x:c>
      <x:c r="BK12" s="162" t="str">
        <x:v>未完成</x:v>
      </x:c>
      <x:c r="BL12" s="162" t="str">
        <x:v>未完成</x:v>
      </x:c>
      <x:c r="BM12" s="162" t="str">
        <x:v>未完成</x:v>
      </x:c>
      <x:c r="BN12" s="162" t="str">
        <x:v>未完成</x:v>
      </x:c>
      <x:c r="BO12" s="162" t="str">
        <x:v>未完成</x:v>
      </x:c>
      <x:c r="BP12" s="162" t="str">
        <x:v>未完成</x:v>
      </x:c>
      <x:c r="BQ12" s="162" t="str">
        <x:v>未完成</x:v>
      </x:c>
      <x:c r="BR12" s="162" t="str">
        <x:v>未完成</x:v>
      </x:c>
    </x:row>
    <x:row r="13" ht="27" customHeight="1">
      <x:c r="A13" s="45" t="n">
        <x:v>7</x:v>
      </x:c>
      <x:c r="B13" s="2" t="str">
        <x:v>钟定雄</x:v>
      </x:c>
      <x:c r="C13" s="2" t="str">
        <x:v>st16@sunwill.com.cn</x:v>
      </x:c>
      <x:c r="D13" s="2" t="str">
        <x:v>研发工程师</x:v>
      </x:c>
      <x:c r="E13" s="2" t="str">
        <x:v>研发中心</x:v>
      </x:c>
      <x:c r="F13" s="2" t="str">
        <x:v>广东基地</x:v>
      </x:c>
      <x:c r="G13" s="45" t="str">
        <x:v>启用</x:v>
      </x:c>
      <x:c r="H13" s="160" t="n">
        <x:f>COUNTIFS(J13:BR13,"完成")</x:f>
        <x:v>0</x:v>
      </x:c>
      <x:c r="I13" s="161" t="n">
        <x:f>IF((61-COUNTIFS(J13:BR13,"不适用"))=0,0,H13/(61-COUNTIFS(J13:BR13,"不适用")))</x:f>
        <x:v>0</x:v>
      </x:c>
      <x:c r="J13" s="162" t="str">
        <x:v>未完成</x:v>
      </x:c>
      <x:c r="K13" s="162" t="str">
        <x:v>未完成</x:v>
      </x:c>
      <x:c r="L13" s="162" t="str">
        <x:v>未完成</x:v>
      </x:c>
      <x:c r="M13" s="162" t="str">
        <x:v>未完成</x:v>
      </x:c>
      <x:c r="N13" s="162" t="str">
        <x:v>未完成</x:v>
      </x:c>
      <x:c r="O13" s="162" t="str">
        <x:v>未完成</x:v>
      </x:c>
      <x:c r="P13" s="162" t="str">
        <x:v>未完成</x:v>
      </x:c>
      <x:c r="Q13" s="162" t="str">
        <x:v>未完成</x:v>
      </x:c>
      <x:c r="R13" s="162" t="str">
        <x:v>未完成</x:v>
      </x:c>
      <x:c r="S13" s="162" t="str">
        <x:v>未完成</x:v>
      </x:c>
      <x:c r="T13" s="162" t="str">
        <x:v>未完成</x:v>
      </x:c>
      <x:c r="U13" s="162" t="str">
        <x:v>未完成</x:v>
      </x:c>
      <x:c r="V13" s="162" t="str">
        <x:v>未完成</x:v>
      </x:c>
      <x:c r="W13" s="162" t="str">
        <x:v>未完成</x:v>
      </x:c>
      <x:c r="X13" s="162" t="str">
        <x:v>未完成</x:v>
      </x:c>
      <x:c r="Y13" s="162" t="str">
        <x:v>未完成</x:v>
      </x:c>
      <x:c r="Z13" s="162" t="str">
        <x:v>未完成</x:v>
      </x:c>
      <x:c r="AA13" s="162" t="str">
        <x:v>未完成</x:v>
      </x:c>
      <x:c r="AB13" s="162" t="str">
        <x:v>未完成</x:v>
      </x:c>
      <x:c r="AC13" s="162" t="str">
        <x:v>未完成</x:v>
      </x:c>
      <x:c r="AD13" s="162" t="str">
        <x:v>未完成</x:v>
      </x:c>
      <x:c r="AE13" s="162" t="str">
        <x:v>未完成</x:v>
      </x:c>
      <x:c r="AF13" s="162" t="str">
        <x:v>未完成</x:v>
      </x:c>
      <x:c r="AG13" s="162" t="str">
        <x:v>未完成</x:v>
      </x:c>
      <x:c r="AH13" s="162" t="str">
        <x:v>未完成</x:v>
      </x:c>
      <x:c r="AI13" s="162" t="str">
        <x:v>未完成</x:v>
      </x:c>
      <x:c r="AJ13" s="162" t="str">
        <x:v>未完成</x:v>
      </x:c>
      <x:c r="AK13" s="162" t="str">
        <x:v>未完成</x:v>
      </x:c>
      <x:c r="AL13" s="162" t="str">
        <x:v>未完成</x:v>
      </x:c>
      <x:c r="AM13" s="162" t="str">
        <x:v>未完成</x:v>
      </x:c>
      <x:c r="AN13" s="162" t="str">
        <x:v>未完成</x:v>
      </x:c>
      <x:c r="AO13" s="162" t="str">
        <x:v>未完成</x:v>
      </x:c>
      <x:c r="AP13" s="162" t="str">
        <x:v>未完成</x:v>
      </x:c>
      <x:c r="AQ13" s="162" t="str">
        <x:v>未完成</x:v>
      </x:c>
      <x:c r="AR13" s="162" t="str">
        <x:v>未完成</x:v>
      </x:c>
      <x:c r="AS13" s="162" t="str">
        <x:v>未完成</x:v>
      </x:c>
      <x:c r="AT13" s="162" t="str">
        <x:v>未完成</x:v>
      </x:c>
      <x:c r="AU13" s="162" t="str">
        <x:v>未完成</x:v>
      </x:c>
      <x:c r="AV13" s="162" t="str">
        <x:v>未完成</x:v>
      </x:c>
      <x:c r="AW13" s="162" t="str">
        <x:v>未完成</x:v>
      </x:c>
      <x:c r="AX13" s="162" t="str">
        <x:v>未完成</x:v>
      </x:c>
      <x:c r="AY13" s="162" t="str">
        <x:v>未完成</x:v>
      </x:c>
      <x:c r="AZ13" s="162" t="str">
        <x:v>未完成</x:v>
      </x:c>
      <x:c r="BA13" s="162" t="str">
        <x:v>未完成</x:v>
      </x:c>
      <x:c r="BB13" s="162" t="str">
        <x:v>未完成</x:v>
      </x:c>
      <x:c r="BC13" s="162" t="str">
        <x:v>未完成</x:v>
      </x:c>
      <x:c r="BD13" s="162" t="str">
        <x:v>未完成</x:v>
      </x:c>
      <x:c r="BE13" s="162" t="str">
        <x:v>未完成</x:v>
      </x:c>
      <x:c r="BF13" s="162" t="str">
        <x:v>未完成</x:v>
      </x:c>
      <x:c r="BG13" s="162" t="str">
        <x:v>未完成</x:v>
      </x:c>
      <x:c r="BH13" s="162" t="str">
        <x:v>未完成</x:v>
      </x:c>
      <x:c r="BI13" s="162" t="str">
        <x:v>未完成</x:v>
      </x:c>
      <x:c r="BJ13" s="162" t="str">
        <x:v>未完成</x:v>
      </x:c>
      <x:c r="BK13" s="162" t="str">
        <x:v>未完成</x:v>
      </x:c>
      <x:c r="BL13" s="162" t="str">
        <x:v>未完成</x:v>
      </x:c>
      <x:c r="BM13" s="162" t="str">
        <x:v>未完成</x:v>
      </x:c>
      <x:c r="BN13" s="162" t="str">
        <x:v>未完成</x:v>
      </x:c>
      <x:c r="BO13" s="162" t="str">
        <x:v>未完成</x:v>
      </x:c>
      <x:c r="BP13" s="162" t="str">
        <x:v>未完成</x:v>
      </x:c>
      <x:c r="BQ13" s="162" t="str">
        <x:v>未完成</x:v>
      </x:c>
      <x:c r="BR13" s="162" t="str">
        <x:v>未完成</x:v>
      </x:c>
    </x:row>
    <x:row r="14" ht="27" customHeight="1">
      <x:c r="A14" s="45" t="n">
        <x:v>8</x:v>
      </x:c>
      <x:c r="B14" s="2" t="str">
        <x:v>林秋暖</x:v>
      </x:c>
      <x:c r="C14" s="2" t="str">
        <x:v>qiunuan.lin@sunwill.com.cn</x:v>
      </x:c>
      <x:c r="D14" s="2" t="str">
        <x:v>测试工程师</x:v>
      </x:c>
      <x:c r="E14" s="2" t="str">
        <x:v>研发中心</x:v>
      </x:c>
      <x:c r="F14" s="2" t="str">
        <x:v>广东基地</x:v>
      </x:c>
      <x:c r="G14" s="45" t="str">
        <x:v>启用</x:v>
      </x:c>
      <x:c r="H14" s="160" t="n">
        <x:f>COUNTIFS(J14:BR14,"完成")</x:f>
        <x:v>0</x:v>
      </x:c>
      <x:c r="I14" s="161" t="n">
        <x:f>IF((61-COUNTIFS(J14:BR14,"不适用"))=0,0,H14/(61-COUNTIFS(J14:BR14,"不适用")))</x:f>
        <x:v>0</x:v>
      </x:c>
      <x:c r="J14" s="162" t="str">
        <x:v>未完成</x:v>
      </x:c>
      <x:c r="K14" s="162" t="str">
        <x:v>未完成</x:v>
      </x:c>
      <x:c r="L14" s="162" t="str">
        <x:v>未完成</x:v>
      </x:c>
      <x:c r="M14" s="162" t="str">
        <x:v>未完成</x:v>
      </x:c>
      <x:c r="N14" s="162" t="str">
        <x:v>未完成</x:v>
      </x:c>
      <x:c r="O14" s="162" t="str">
        <x:v>未完成</x:v>
      </x:c>
      <x:c r="P14" s="162" t="str">
        <x:v>未完成</x:v>
      </x:c>
      <x:c r="Q14" s="162" t="str">
        <x:v>未完成</x:v>
      </x:c>
      <x:c r="R14" s="162" t="str">
        <x:v>未完成</x:v>
      </x:c>
      <x:c r="S14" s="162" t="str">
        <x:v>未完成</x:v>
      </x:c>
      <x:c r="T14" s="162" t="str">
        <x:v>未完成</x:v>
      </x:c>
      <x:c r="U14" s="162" t="str">
        <x:v>未完成</x:v>
      </x:c>
      <x:c r="V14" s="162" t="str">
        <x:v>未完成</x:v>
      </x:c>
      <x:c r="W14" s="162" t="str">
        <x:v>未完成</x:v>
      </x:c>
      <x:c r="X14" s="162" t="str">
        <x:v>未完成</x:v>
      </x:c>
      <x:c r="Y14" s="162" t="str">
        <x:v>未完成</x:v>
      </x:c>
      <x:c r="Z14" s="162" t="str">
        <x:v>未完成</x:v>
      </x:c>
      <x:c r="AA14" s="162" t="str">
        <x:v>未完成</x:v>
      </x:c>
      <x:c r="AB14" s="162" t="str">
        <x:v>未完成</x:v>
      </x:c>
      <x:c r="AC14" s="162" t="str">
        <x:v>未完成</x:v>
      </x:c>
      <x:c r="AD14" s="162" t="str">
        <x:v>未完成</x:v>
      </x:c>
      <x:c r="AE14" s="162" t="str">
        <x:v>未完成</x:v>
      </x:c>
      <x:c r="AF14" s="162" t="str">
        <x:v>未完成</x:v>
      </x:c>
      <x:c r="AG14" s="162" t="str">
        <x:v>未完成</x:v>
      </x:c>
      <x:c r="AH14" s="162" t="str">
        <x:v>未完成</x:v>
      </x:c>
      <x:c r="AI14" s="162" t="str">
        <x:v>未完成</x:v>
      </x:c>
      <x:c r="AJ14" s="162" t="str">
        <x:v>未完成</x:v>
      </x:c>
      <x:c r="AK14" s="162" t="str">
        <x:v>未完成</x:v>
      </x:c>
      <x:c r="AL14" s="162" t="str">
        <x:v>未完成</x:v>
      </x:c>
      <x:c r="AM14" s="162" t="str">
        <x:v>未完成</x:v>
      </x:c>
      <x:c r="AN14" s="162" t="str">
        <x:v>未完成</x:v>
      </x:c>
      <x:c r="AO14" s="162" t="str">
        <x:v>未完成</x:v>
      </x:c>
      <x:c r="AP14" s="162" t="str">
        <x:v>未完成</x:v>
      </x:c>
      <x:c r="AQ14" s="162" t="str">
        <x:v>未完成</x:v>
      </x:c>
      <x:c r="AR14" s="162" t="str">
        <x:v>未完成</x:v>
      </x:c>
      <x:c r="AS14" s="162" t="str">
        <x:v>未完成</x:v>
      </x:c>
      <x:c r="AT14" s="162" t="str">
        <x:v>未完成</x:v>
      </x:c>
      <x:c r="AU14" s="162" t="str">
        <x:v>未完成</x:v>
      </x:c>
      <x:c r="AV14" s="162" t="str">
        <x:v>未完成</x:v>
      </x:c>
      <x:c r="AW14" s="162" t="str">
        <x:v>未完成</x:v>
      </x:c>
      <x:c r="AX14" s="162" t="str">
        <x:v>未完成</x:v>
      </x:c>
      <x:c r="AY14" s="162" t="str">
        <x:v>未完成</x:v>
      </x:c>
      <x:c r="AZ14" s="162" t="str">
        <x:v>未完成</x:v>
      </x:c>
      <x:c r="BA14" s="162" t="str">
        <x:v>未完成</x:v>
      </x:c>
      <x:c r="BB14" s="162" t="str">
        <x:v>未完成</x:v>
      </x:c>
      <x:c r="BC14" s="162" t="str">
        <x:v>未完成</x:v>
      </x:c>
      <x:c r="BD14" s="162" t="str">
        <x:v>未完成</x:v>
      </x:c>
      <x:c r="BE14" s="162" t="str">
        <x:v>未完成</x:v>
      </x:c>
      <x:c r="BF14" s="162" t="str">
        <x:v>未完成</x:v>
      </x:c>
      <x:c r="BG14" s="162" t="str">
        <x:v>未完成</x:v>
      </x:c>
      <x:c r="BH14" s="162" t="str">
        <x:v>未完成</x:v>
      </x:c>
      <x:c r="BI14" s="162" t="str">
        <x:v>未完成</x:v>
      </x:c>
      <x:c r="BJ14" s="162" t="str">
        <x:v>未完成</x:v>
      </x:c>
      <x:c r="BK14" s="162" t="str">
        <x:v>未完成</x:v>
      </x:c>
      <x:c r="BL14" s="162" t="str">
        <x:v>未完成</x:v>
      </x:c>
      <x:c r="BM14" s="162" t="str">
        <x:v>未完成</x:v>
      </x:c>
      <x:c r="BN14" s="162" t="str">
        <x:v>未完成</x:v>
      </x:c>
      <x:c r="BO14" s="162" t="str">
        <x:v>未完成</x:v>
      </x:c>
      <x:c r="BP14" s="162" t="str">
        <x:v>未完成</x:v>
      </x:c>
      <x:c r="BQ14" s="162" t="str">
        <x:v>未完成</x:v>
      </x:c>
      <x:c r="BR14" s="162" t="str">
        <x:v>未完成</x:v>
      </x:c>
    </x:row>
    <x:row r="15" ht="27" customHeight="1">
      <x:c r="A15" s="45" t="n">
        <x:v>9</x:v>
      </x:c>
      <x:c r="B15" s="2" t="str">
        <x:v>朱奎霖</x:v>
      </x:c>
      <x:c r="C15" s="2" t="str">
        <x:v>kuilin.zhu@sunwill.com.cn</x:v>
      </x:c>
      <x:c r="D15" s="2" t="str">
        <x:v>研发工程师</x:v>
      </x:c>
      <x:c r="E15" s="2" t="str">
        <x:v>研发中心</x:v>
      </x:c>
      <x:c r="F15" s="2" t="str">
        <x:v>广东基地</x:v>
      </x:c>
      <x:c r="G15" s="45" t="str">
        <x:v>启用</x:v>
      </x:c>
      <x:c r="H15" s="160" t="n">
        <x:f>COUNTIFS(J15:BR15,"完成")</x:f>
        <x:v>0</x:v>
      </x:c>
      <x:c r="I15" s="161" t="n">
        <x:f>IF((61-COUNTIFS(J15:BR15,"不适用"))=0,0,H15/(61-COUNTIFS(J15:BR15,"不适用")))</x:f>
        <x:v>0</x:v>
      </x:c>
      <x:c r="J15" s="162" t="str">
        <x:v>未完成</x:v>
      </x:c>
      <x:c r="K15" s="162" t="str">
        <x:v>未完成</x:v>
      </x:c>
      <x:c r="L15" s="162" t="str">
        <x:v>未完成</x:v>
      </x:c>
      <x:c r="M15" s="162" t="str">
        <x:v>未完成</x:v>
      </x:c>
      <x:c r="N15" s="162" t="str">
        <x:v>未完成</x:v>
      </x:c>
      <x:c r="O15" s="162" t="str">
        <x:v>未完成</x:v>
      </x:c>
      <x:c r="P15" s="162" t="str">
        <x:v>未完成</x:v>
      </x:c>
      <x:c r="Q15" s="162" t="str">
        <x:v>未完成</x:v>
      </x:c>
      <x:c r="R15" s="162" t="str">
        <x:v>未完成</x:v>
      </x:c>
      <x:c r="S15" s="162" t="str">
        <x:v>未完成</x:v>
      </x:c>
      <x:c r="T15" s="162" t="str">
        <x:v>未完成</x:v>
      </x:c>
      <x:c r="U15" s="162" t="str">
        <x:v>未完成</x:v>
      </x:c>
      <x:c r="V15" s="162" t="str">
        <x:v>未完成</x:v>
      </x:c>
      <x:c r="W15" s="162" t="str">
        <x:v>未完成</x:v>
      </x:c>
      <x:c r="X15" s="162" t="str">
        <x:v>未完成</x:v>
      </x:c>
      <x:c r="Y15" s="162" t="str">
        <x:v>未完成</x:v>
      </x:c>
      <x:c r="Z15" s="162" t="str">
        <x:v>未完成</x:v>
      </x:c>
      <x:c r="AA15" s="162" t="str">
        <x:v>未完成</x:v>
      </x:c>
      <x:c r="AB15" s="162" t="str">
        <x:v>未完成</x:v>
      </x:c>
      <x:c r="AC15" s="162" t="str">
        <x:v>未完成</x:v>
      </x:c>
      <x:c r="AD15" s="162" t="str">
        <x:v>未完成</x:v>
      </x:c>
      <x:c r="AE15" s="162" t="str">
        <x:v>未完成</x:v>
      </x:c>
      <x:c r="AF15" s="162" t="str">
        <x:v>未完成</x:v>
      </x:c>
      <x:c r="AG15" s="162" t="str">
        <x:v>未完成</x:v>
      </x:c>
      <x:c r="AH15" s="162" t="str">
        <x:v>未完成</x:v>
      </x:c>
      <x:c r="AI15" s="162" t="str">
        <x:v>未完成</x:v>
      </x:c>
      <x:c r="AJ15" s="162" t="str">
        <x:v>未完成</x:v>
      </x:c>
      <x:c r="AK15" s="162" t="str">
        <x:v>未完成</x:v>
      </x:c>
      <x:c r="AL15" s="162" t="str">
        <x:v>未完成</x:v>
      </x:c>
      <x:c r="AM15" s="162" t="str">
        <x:v>未完成</x:v>
      </x:c>
      <x:c r="AN15" s="162" t="str">
        <x:v>未完成</x:v>
      </x:c>
      <x:c r="AO15" s="162" t="str">
        <x:v>未完成</x:v>
      </x:c>
      <x:c r="AP15" s="162" t="str">
        <x:v>未完成</x:v>
      </x:c>
      <x:c r="AQ15" s="162" t="str">
        <x:v>未完成</x:v>
      </x:c>
      <x:c r="AR15" s="162" t="str">
        <x:v>未完成</x:v>
      </x:c>
      <x:c r="AS15" s="162" t="str">
        <x:v>未完成</x:v>
      </x:c>
      <x:c r="AT15" s="162" t="str">
        <x:v>未完成</x:v>
      </x:c>
      <x:c r="AU15" s="162" t="str">
        <x:v>未完成</x:v>
      </x:c>
      <x:c r="AV15" s="162" t="str">
        <x:v>未完成</x:v>
      </x:c>
      <x:c r="AW15" s="162" t="str">
        <x:v>未完成</x:v>
      </x:c>
      <x:c r="AX15" s="162" t="str">
        <x:v>未完成</x:v>
      </x:c>
      <x:c r="AY15" s="162" t="str">
        <x:v>未完成</x:v>
      </x:c>
      <x:c r="AZ15" s="162" t="str">
        <x:v>未完成</x:v>
      </x:c>
      <x:c r="BA15" s="162" t="str">
        <x:v>未完成</x:v>
      </x:c>
      <x:c r="BB15" s="162" t="str">
        <x:v>未完成</x:v>
      </x:c>
      <x:c r="BC15" s="162" t="str">
        <x:v>未完成</x:v>
      </x:c>
      <x:c r="BD15" s="162" t="str">
        <x:v>未完成</x:v>
      </x:c>
      <x:c r="BE15" s="162" t="str">
        <x:v>未完成</x:v>
      </x:c>
      <x:c r="BF15" s="162" t="str">
        <x:v>未完成</x:v>
      </x:c>
      <x:c r="BG15" s="162" t="str">
        <x:v>未完成</x:v>
      </x:c>
      <x:c r="BH15" s="162" t="str">
        <x:v>未完成</x:v>
      </x:c>
      <x:c r="BI15" s="162" t="str">
        <x:v>未完成</x:v>
      </x:c>
      <x:c r="BJ15" s="162" t="str">
        <x:v>未完成</x:v>
      </x:c>
      <x:c r="BK15" s="162" t="str">
        <x:v>未完成</x:v>
      </x:c>
      <x:c r="BL15" s="162" t="str">
        <x:v>未完成</x:v>
      </x:c>
      <x:c r="BM15" s="162" t="str">
        <x:v>未完成</x:v>
      </x:c>
      <x:c r="BN15" s="162" t="str">
        <x:v>未完成</x:v>
      </x:c>
      <x:c r="BO15" s="162" t="str">
        <x:v>未完成</x:v>
      </x:c>
      <x:c r="BP15" s="162" t="str">
        <x:v>未完成</x:v>
      </x:c>
      <x:c r="BQ15" s="162" t="str">
        <x:v>未完成</x:v>
      </x:c>
      <x:c r="BR15" s="162" t="str">
        <x:v>未完成</x:v>
      </x:c>
    </x:row>
    <x:row r="16" ht="27" customHeight="1">
      <x:c r="A16" s="45" t="n">
        <x:v>10</x:v>
      </x:c>
      <x:c r="B16" s="2" t="str">
        <x:v>李霖静</x:v>
      </x:c>
      <x:c r="C16" s="2" t="str">
        <x:v>linjing.li@sunwill.com.cn</x:v>
      </x:c>
      <x:c r="D16" s="2" t="str">
        <x:v>研发工程师</x:v>
      </x:c>
      <x:c r="E16" s="2" t="str">
        <x:v>研发中心</x:v>
      </x:c>
      <x:c r="F16" s="2" t="str">
        <x:v>广东基地</x:v>
      </x:c>
      <x:c r="G16" s="45" t="str">
        <x:v>启用</x:v>
      </x:c>
      <x:c r="H16" s="160" t="n">
        <x:f>COUNTIFS(J16:BR16,"完成")</x:f>
        <x:v>0</x:v>
      </x:c>
      <x:c r="I16" s="161" t="n">
        <x:f>IF((61-COUNTIFS(J16:BR16,"不适用"))=0,0,H16/(61-COUNTIFS(J16:BR16,"不适用")))</x:f>
        <x:v>0</x:v>
      </x:c>
      <x:c r="J16" s="162" t="str">
        <x:v>未完成</x:v>
      </x:c>
      <x:c r="K16" s="162" t="str">
        <x:v>未完成</x:v>
      </x:c>
      <x:c r="L16" s="162" t="str">
        <x:v>未完成</x:v>
      </x:c>
      <x:c r="M16" s="162" t="str">
        <x:v>未完成</x:v>
      </x:c>
      <x:c r="N16" s="162" t="str">
        <x:v>未完成</x:v>
      </x:c>
      <x:c r="O16" s="162" t="str">
        <x:v>未完成</x:v>
      </x:c>
      <x:c r="P16" s="162" t="str">
        <x:v>未完成</x:v>
      </x:c>
      <x:c r="Q16" s="162" t="str">
        <x:v>未完成</x:v>
      </x:c>
      <x:c r="R16" s="162" t="str">
        <x:v>未完成</x:v>
      </x:c>
      <x:c r="S16" s="162" t="str">
        <x:v>未完成</x:v>
      </x:c>
      <x:c r="T16" s="162" t="str">
        <x:v>未完成</x:v>
      </x:c>
      <x:c r="U16" s="162" t="str">
        <x:v>未完成</x:v>
      </x:c>
      <x:c r="V16" s="162" t="str">
        <x:v>未完成</x:v>
      </x:c>
      <x:c r="W16" s="162" t="str">
        <x:v>未完成</x:v>
      </x:c>
      <x:c r="X16" s="162" t="str">
        <x:v>未完成</x:v>
      </x:c>
      <x:c r="Y16" s="162" t="str">
        <x:v>未完成</x:v>
      </x:c>
      <x:c r="Z16" s="162" t="str">
        <x:v>未完成</x:v>
      </x:c>
      <x:c r="AA16" s="162" t="str">
        <x:v>未完成</x:v>
      </x:c>
      <x:c r="AB16" s="162" t="str">
        <x:v>未完成</x:v>
      </x:c>
      <x:c r="AC16" s="162" t="str">
        <x:v>未完成</x:v>
      </x:c>
      <x:c r="AD16" s="162" t="str">
        <x:v>未完成</x:v>
      </x:c>
      <x:c r="AE16" s="162" t="str">
        <x:v>未完成</x:v>
      </x:c>
      <x:c r="AF16" s="162" t="str">
        <x:v>未完成</x:v>
      </x:c>
      <x:c r="AG16" s="162" t="str">
        <x:v>未完成</x:v>
      </x:c>
      <x:c r="AH16" s="162" t="str">
        <x:v>未完成</x:v>
      </x:c>
      <x:c r="AI16" s="162" t="str">
        <x:v>未完成</x:v>
      </x:c>
      <x:c r="AJ16" s="162" t="str">
        <x:v>未完成</x:v>
      </x:c>
      <x:c r="AK16" s="162" t="str">
        <x:v>未完成</x:v>
      </x:c>
      <x:c r="AL16" s="162" t="str">
        <x:v>未完成</x:v>
      </x:c>
      <x:c r="AM16" s="162" t="str">
        <x:v>未完成</x:v>
      </x:c>
      <x:c r="AN16" s="162" t="str">
        <x:v>未完成</x:v>
      </x:c>
      <x:c r="AO16" s="162" t="str">
        <x:v>未完成</x:v>
      </x:c>
      <x:c r="AP16" s="162" t="str">
        <x:v>未完成</x:v>
      </x:c>
      <x:c r="AQ16" s="162" t="str">
        <x:v>未完成</x:v>
      </x:c>
      <x:c r="AR16" s="162" t="str">
        <x:v>未完成</x:v>
      </x:c>
      <x:c r="AS16" s="162" t="str">
        <x:v>未完成</x:v>
      </x:c>
      <x:c r="AT16" s="162" t="str">
        <x:v>未完成</x:v>
      </x:c>
      <x:c r="AU16" s="162" t="str">
        <x:v>未完成</x:v>
      </x:c>
      <x:c r="AV16" s="162" t="str">
        <x:v>未完成</x:v>
      </x:c>
      <x:c r="AW16" s="162" t="str">
        <x:v>未完成</x:v>
      </x:c>
      <x:c r="AX16" s="162" t="str">
        <x:v>未完成</x:v>
      </x:c>
      <x:c r="AY16" s="162" t="str">
        <x:v>未完成</x:v>
      </x:c>
      <x:c r="AZ16" s="162" t="str">
        <x:v>未完成</x:v>
      </x:c>
      <x:c r="BA16" s="162" t="str">
        <x:v>未完成</x:v>
      </x:c>
      <x:c r="BB16" s="162" t="str">
        <x:v>未完成</x:v>
      </x:c>
      <x:c r="BC16" s="162" t="str">
        <x:v>未完成</x:v>
      </x:c>
      <x:c r="BD16" s="162" t="str">
        <x:v>未完成</x:v>
      </x:c>
      <x:c r="BE16" s="162" t="str">
        <x:v>未完成</x:v>
      </x:c>
      <x:c r="BF16" s="162" t="str">
        <x:v>未完成</x:v>
      </x:c>
      <x:c r="BG16" s="162" t="str">
        <x:v>未完成</x:v>
      </x:c>
      <x:c r="BH16" s="162" t="str">
        <x:v>未完成</x:v>
      </x:c>
      <x:c r="BI16" s="162" t="str">
        <x:v>未完成</x:v>
      </x:c>
      <x:c r="BJ16" s="162" t="str">
        <x:v>未完成</x:v>
      </x:c>
      <x:c r="BK16" s="162" t="str">
        <x:v>未完成</x:v>
      </x:c>
      <x:c r="BL16" s="162" t="str">
        <x:v>未完成</x:v>
      </x:c>
      <x:c r="BM16" s="162" t="str">
        <x:v>未完成</x:v>
      </x:c>
      <x:c r="BN16" s="162" t="str">
        <x:v>未完成</x:v>
      </x:c>
      <x:c r="BO16" s="162" t="str">
        <x:v>未完成</x:v>
      </x:c>
      <x:c r="BP16" s="162" t="str">
        <x:v>未完成</x:v>
      </x:c>
      <x:c r="BQ16" s="162" t="str">
        <x:v>未完成</x:v>
      </x:c>
      <x:c r="BR16" s="162" t="str">
        <x:v>未完成</x:v>
      </x:c>
    </x:row>
    <x:row r="17" ht="27" customHeight="1">
      <x:c r="A17" s="45" t="n">
        <x:v>11</x:v>
      </x:c>
      <x:c r="B17" s="2" t="str">
        <x:v>冯刚</x:v>
      </x:c>
      <x:c r="C17" s="2" t="str">
        <x:v>gang.feng@sunwill.com.cn</x:v>
      </x:c>
      <x:c r="D17" s="2" t="str">
        <x:v>研发工程师</x:v>
      </x:c>
      <x:c r="E17" s="2" t="str">
        <x:v>研发中心</x:v>
      </x:c>
      <x:c r="F17" s="2" t="str">
        <x:v>广东基地</x:v>
      </x:c>
      <x:c r="G17" s="45" t="str">
        <x:v>启用</x:v>
      </x:c>
      <x:c r="H17" s="160" t="n">
        <x:f>COUNTIFS(J17:BR17,"完成")</x:f>
        <x:v>0</x:v>
      </x:c>
      <x:c r="I17" s="161" t="n">
        <x:f>IF((61-COUNTIFS(J17:BR17,"不适用"))=0,0,H17/(61-COUNTIFS(J17:BR17,"不适用")))</x:f>
        <x:v>0</x:v>
      </x:c>
      <x:c r="J17" s="162" t="str">
        <x:v>未完成</x:v>
      </x:c>
      <x:c r="K17" s="162" t="str">
        <x:v>未完成</x:v>
      </x:c>
      <x:c r="L17" s="162" t="str">
        <x:v>未完成</x:v>
      </x:c>
      <x:c r="M17" s="162" t="str">
        <x:v>未完成</x:v>
      </x:c>
      <x:c r="N17" s="162" t="str">
        <x:v>未完成</x:v>
      </x:c>
      <x:c r="O17" s="162" t="str">
        <x:v>未完成</x:v>
      </x:c>
      <x:c r="P17" s="162" t="str">
        <x:v>未完成</x:v>
      </x:c>
      <x:c r="Q17" s="162" t="str">
        <x:v>未完成</x:v>
      </x:c>
      <x:c r="R17" s="162" t="str">
        <x:v>未完成</x:v>
      </x:c>
      <x:c r="S17" s="162" t="str">
        <x:v>未完成</x:v>
      </x:c>
      <x:c r="T17" s="162" t="str">
        <x:v>未完成</x:v>
      </x:c>
      <x:c r="U17" s="162" t="str">
        <x:v>未完成</x:v>
      </x:c>
      <x:c r="V17" s="162" t="str">
        <x:v>未完成</x:v>
      </x:c>
      <x:c r="W17" s="162" t="str">
        <x:v>未完成</x:v>
      </x:c>
      <x:c r="X17" s="162" t="str">
        <x:v>未完成</x:v>
      </x:c>
      <x:c r="Y17" s="162" t="str">
        <x:v>未完成</x:v>
      </x:c>
      <x:c r="Z17" s="162" t="str">
        <x:v>未完成</x:v>
      </x:c>
      <x:c r="AA17" s="162" t="str">
        <x:v>未完成</x:v>
      </x:c>
      <x:c r="AB17" s="162" t="str">
        <x:v>未完成</x:v>
      </x:c>
      <x:c r="AC17" s="162" t="str">
        <x:v>未完成</x:v>
      </x:c>
      <x:c r="AD17" s="162" t="str">
        <x:v>未完成</x:v>
      </x:c>
      <x:c r="AE17" s="162" t="str">
        <x:v>未完成</x:v>
      </x:c>
      <x:c r="AF17" s="162" t="str">
        <x:v>未完成</x:v>
      </x:c>
      <x:c r="AG17" s="162" t="str">
        <x:v>未完成</x:v>
      </x:c>
      <x:c r="AH17" s="162" t="str">
        <x:v>未完成</x:v>
      </x:c>
      <x:c r="AI17" s="162" t="str">
        <x:v>未完成</x:v>
      </x:c>
      <x:c r="AJ17" s="162" t="str">
        <x:v>未完成</x:v>
      </x:c>
      <x:c r="AK17" s="162" t="str">
        <x:v>未完成</x:v>
      </x:c>
      <x:c r="AL17" s="162" t="str">
        <x:v>未完成</x:v>
      </x:c>
      <x:c r="AM17" s="162" t="str">
        <x:v>未完成</x:v>
      </x:c>
      <x:c r="AN17" s="162" t="str">
        <x:v>未完成</x:v>
      </x:c>
      <x:c r="AO17" s="162" t="str">
        <x:v>未完成</x:v>
      </x:c>
      <x:c r="AP17" s="162" t="str">
        <x:v>未完成</x:v>
      </x:c>
      <x:c r="AQ17" s="162" t="str">
        <x:v>未完成</x:v>
      </x:c>
      <x:c r="AR17" s="162" t="str">
        <x:v>未完成</x:v>
      </x:c>
      <x:c r="AS17" s="162" t="str">
        <x:v>未完成</x:v>
      </x:c>
      <x:c r="AT17" s="162" t="str">
        <x:v>未完成</x:v>
      </x:c>
      <x:c r="AU17" s="162" t="str">
        <x:v>未完成</x:v>
      </x:c>
      <x:c r="AV17" s="162" t="str">
        <x:v>未完成</x:v>
      </x:c>
      <x:c r="AW17" s="162" t="str">
        <x:v>未完成</x:v>
      </x:c>
      <x:c r="AX17" s="162" t="str">
        <x:v>未完成</x:v>
      </x:c>
      <x:c r="AY17" s="162" t="str">
        <x:v>未完成</x:v>
      </x:c>
      <x:c r="AZ17" s="162" t="str">
        <x:v>未完成</x:v>
      </x:c>
      <x:c r="BA17" s="162" t="str">
        <x:v>未完成</x:v>
      </x:c>
      <x:c r="BB17" s="162" t="str">
        <x:v>未完成</x:v>
      </x:c>
      <x:c r="BC17" s="162" t="str">
        <x:v>未完成</x:v>
      </x:c>
      <x:c r="BD17" s="162" t="str">
        <x:v>未完成</x:v>
      </x:c>
      <x:c r="BE17" s="162" t="str">
        <x:v>未完成</x:v>
      </x:c>
      <x:c r="BF17" s="162" t="str">
        <x:v>未完成</x:v>
      </x:c>
      <x:c r="BG17" s="162" t="str">
        <x:v>未完成</x:v>
      </x:c>
      <x:c r="BH17" s="162" t="str">
        <x:v>未完成</x:v>
      </x:c>
      <x:c r="BI17" s="162" t="str">
        <x:v>未完成</x:v>
      </x:c>
      <x:c r="BJ17" s="162" t="str">
        <x:v>未完成</x:v>
      </x:c>
      <x:c r="BK17" s="162" t="str">
        <x:v>未完成</x:v>
      </x:c>
      <x:c r="BL17" s="162" t="str">
        <x:v>未完成</x:v>
      </x:c>
      <x:c r="BM17" s="162" t="str">
        <x:v>未完成</x:v>
      </x:c>
      <x:c r="BN17" s="162" t="str">
        <x:v>未完成</x:v>
      </x:c>
      <x:c r="BO17" s="162" t="str">
        <x:v>未完成</x:v>
      </x:c>
      <x:c r="BP17" s="162" t="str">
        <x:v>未完成</x:v>
      </x:c>
      <x:c r="BQ17" s="162" t="str">
        <x:v>未完成</x:v>
      </x:c>
      <x:c r="BR17" s="162" t="str">
        <x:v>未完成</x:v>
      </x:c>
    </x:row>
    <x:row r="18" ht="27" customHeight="1">
      <x:c r="A18" s="45" t="n">
        <x:v>12</x:v>
      </x:c>
      <x:c r="B18" s="2" t="str">
        <x:v>何江</x:v>
      </x:c>
      <x:c r="C18" s="2" t="str">
        <x:v>jiang.he@sunwill.com.cn</x:v>
      </x:c>
      <x:c r="D18" s="2" t="str">
        <x:v>研发工程师</x:v>
      </x:c>
      <x:c r="E18" s="2" t="str">
        <x:v>研发中心</x:v>
      </x:c>
      <x:c r="F18" s="2" t="str">
        <x:v>广东基地</x:v>
      </x:c>
      <x:c r="G18" s="45" t="str">
        <x:v>启用</x:v>
      </x:c>
      <x:c r="H18" s="160" t="n">
        <x:f>COUNTIFS(J18:BR18,"完成")</x:f>
        <x:v>0</x:v>
      </x:c>
      <x:c r="I18" s="161" t="n">
        <x:f>IF((61-COUNTIFS(J18:BR18,"不适用"))=0,0,H18/(61-COUNTIFS(J18:BR18,"不适用")))</x:f>
        <x:v>0</x:v>
      </x:c>
      <x:c r="J18" s="162" t="str">
        <x:v>未完成</x:v>
      </x:c>
      <x:c r="K18" s="162" t="str">
        <x:v>未完成</x:v>
      </x:c>
      <x:c r="L18" s="162" t="str">
        <x:v>未完成</x:v>
      </x:c>
      <x:c r="M18" s="162" t="str">
        <x:v>未完成</x:v>
      </x:c>
      <x:c r="N18" s="162" t="str">
        <x:v>未完成</x:v>
      </x:c>
      <x:c r="O18" s="162" t="str">
        <x:v>未完成</x:v>
      </x:c>
      <x:c r="P18" s="162" t="str">
        <x:v>未完成</x:v>
      </x:c>
      <x:c r="Q18" s="162" t="str">
        <x:v>未完成</x:v>
      </x:c>
      <x:c r="R18" s="162" t="str">
        <x:v>未完成</x:v>
      </x:c>
      <x:c r="S18" s="162" t="str">
        <x:v>未完成</x:v>
      </x:c>
      <x:c r="T18" s="162" t="str">
        <x:v>未完成</x:v>
      </x:c>
      <x:c r="U18" s="162" t="str">
        <x:v>未完成</x:v>
      </x:c>
      <x:c r="V18" s="162" t="str">
        <x:v>未完成</x:v>
      </x:c>
      <x:c r="W18" s="162" t="str">
        <x:v>未完成</x:v>
      </x:c>
      <x:c r="X18" s="162" t="str">
        <x:v>未完成</x:v>
      </x:c>
      <x:c r="Y18" s="162" t="str">
        <x:v>未完成</x:v>
      </x:c>
      <x:c r="Z18" s="162" t="str">
        <x:v>未完成</x:v>
      </x:c>
      <x:c r="AA18" s="162" t="str">
        <x:v>未完成</x:v>
      </x:c>
      <x:c r="AB18" s="162" t="str">
        <x:v>未完成</x:v>
      </x:c>
      <x:c r="AC18" s="162" t="str">
        <x:v>未完成</x:v>
      </x:c>
      <x:c r="AD18" s="162" t="str">
        <x:v>未完成</x:v>
      </x:c>
      <x:c r="AE18" s="162" t="str">
        <x:v>未完成</x:v>
      </x:c>
      <x:c r="AF18" s="162" t="str">
        <x:v>未完成</x:v>
      </x:c>
      <x:c r="AG18" s="162" t="str">
        <x:v>未完成</x:v>
      </x:c>
      <x:c r="AH18" s="162" t="str">
        <x:v>未完成</x:v>
      </x:c>
      <x:c r="AI18" s="162" t="str">
        <x:v>未完成</x:v>
      </x:c>
      <x:c r="AJ18" s="162" t="str">
        <x:v>未完成</x:v>
      </x:c>
      <x:c r="AK18" s="162" t="str">
        <x:v>未完成</x:v>
      </x:c>
      <x:c r="AL18" s="162" t="str">
        <x:v>未完成</x:v>
      </x:c>
      <x:c r="AM18" s="162" t="str">
        <x:v>未完成</x:v>
      </x:c>
      <x:c r="AN18" s="162" t="str">
        <x:v>未完成</x:v>
      </x:c>
      <x:c r="AO18" s="162" t="str">
        <x:v>未完成</x:v>
      </x:c>
      <x:c r="AP18" s="162" t="str">
        <x:v>未完成</x:v>
      </x:c>
      <x:c r="AQ18" s="162" t="str">
        <x:v>未完成</x:v>
      </x:c>
      <x:c r="AR18" s="162" t="str">
        <x:v>未完成</x:v>
      </x:c>
      <x:c r="AS18" s="162" t="str">
        <x:v>未完成</x:v>
      </x:c>
      <x:c r="AT18" s="162" t="str">
        <x:v>未完成</x:v>
      </x:c>
      <x:c r="AU18" s="162" t="str">
        <x:v>未完成</x:v>
      </x:c>
      <x:c r="AV18" s="162" t="str">
        <x:v>未完成</x:v>
      </x:c>
      <x:c r="AW18" s="162" t="str">
        <x:v>未完成</x:v>
      </x:c>
      <x:c r="AX18" s="162" t="str">
        <x:v>未完成</x:v>
      </x:c>
      <x:c r="AY18" s="162" t="str">
        <x:v>未完成</x:v>
      </x:c>
      <x:c r="AZ18" s="162" t="str">
        <x:v>未完成</x:v>
      </x:c>
      <x:c r="BA18" s="162" t="str">
        <x:v>未完成</x:v>
      </x:c>
      <x:c r="BB18" s="162" t="str">
        <x:v>未完成</x:v>
      </x:c>
      <x:c r="BC18" s="162" t="str">
        <x:v>未完成</x:v>
      </x:c>
      <x:c r="BD18" s="162" t="str">
        <x:v>未完成</x:v>
      </x:c>
      <x:c r="BE18" s="162" t="str">
        <x:v>未完成</x:v>
      </x:c>
      <x:c r="BF18" s="162" t="str">
        <x:v>未完成</x:v>
      </x:c>
      <x:c r="BG18" s="162" t="str">
        <x:v>未完成</x:v>
      </x:c>
      <x:c r="BH18" s="162" t="str">
        <x:v>未完成</x:v>
      </x:c>
      <x:c r="BI18" s="162" t="str">
        <x:v>未完成</x:v>
      </x:c>
      <x:c r="BJ18" s="162" t="str">
        <x:v>未完成</x:v>
      </x:c>
      <x:c r="BK18" s="162" t="str">
        <x:v>未完成</x:v>
      </x:c>
      <x:c r="BL18" s="162" t="str">
        <x:v>未完成</x:v>
      </x:c>
      <x:c r="BM18" s="162" t="str">
        <x:v>未完成</x:v>
      </x:c>
      <x:c r="BN18" s="162" t="str">
        <x:v>未完成</x:v>
      </x:c>
      <x:c r="BO18" s="162" t="str">
        <x:v>未完成</x:v>
      </x:c>
      <x:c r="BP18" s="162" t="str">
        <x:v>未完成</x:v>
      </x:c>
      <x:c r="BQ18" s="162" t="str">
        <x:v>未完成</x:v>
      </x:c>
      <x:c r="BR18" s="162" t="str">
        <x:v>未完成</x:v>
      </x:c>
    </x:row>
    <x:row r="19" ht="27" customHeight="1">
      <x:c r="A19" s="45" t="n">
        <x:v>13</x:v>
      </x:c>
      <x:c r="B19" s="2" t="str">
        <x:v>霍信池</x:v>
      </x:c>
      <x:c r="C19" s="2" t="str">
        <x:v>xinchi.huo@sunwill.com.cn</x:v>
      </x:c>
      <x:c r="D19" s="2" t="str">
        <x:v>研发工程师</x:v>
      </x:c>
      <x:c r="E19" s="2" t="str">
        <x:v>研发中心</x:v>
      </x:c>
      <x:c r="F19" s="2" t="str">
        <x:v>广东基地</x:v>
      </x:c>
      <x:c r="G19" s="45" t="str">
        <x:v>启用</x:v>
      </x:c>
      <x:c r="H19" s="160" t="n">
        <x:f>COUNTIFS(J19:BR19,"完成")</x:f>
        <x:v>0</x:v>
      </x:c>
      <x:c r="I19" s="161" t="n">
        <x:f>IF((61-COUNTIFS(J19:BR19,"不适用"))=0,0,H19/(61-COUNTIFS(J19:BR19,"不适用")))</x:f>
        <x:v>0</x:v>
      </x:c>
      <x:c r="J19" s="162" t="str">
        <x:v>未完成</x:v>
      </x:c>
      <x:c r="K19" s="162" t="str">
        <x:v>未完成</x:v>
      </x:c>
      <x:c r="L19" s="162" t="str">
        <x:v>未完成</x:v>
      </x:c>
      <x:c r="M19" s="162" t="str">
        <x:v>未完成</x:v>
      </x:c>
      <x:c r="N19" s="162" t="str">
        <x:v>未完成</x:v>
      </x:c>
      <x:c r="O19" s="162" t="str">
        <x:v>未完成</x:v>
      </x:c>
      <x:c r="P19" s="162" t="str">
        <x:v>未完成</x:v>
      </x:c>
      <x:c r="Q19" s="162" t="str">
        <x:v>未完成</x:v>
      </x:c>
      <x:c r="R19" s="162" t="str">
        <x:v>未完成</x:v>
      </x:c>
      <x:c r="S19" s="162" t="str">
        <x:v>未完成</x:v>
      </x:c>
      <x:c r="T19" s="162" t="str">
        <x:v>未完成</x:v>
      </x:c>
      <x:c r="U19" s="162" t="str">
        <x:v>未完成</x:v>
      </x:c>
      <x:c r="V19" s="162" t="str">
        <x:v>未完成</x:v>
      </x:c>
      <x:c r="W19" s="162" t="str">
        <x:v>未完成</x:v>
      </x:c>
      <x:c r="X19" s="162" t="str">
        <x:v>未完成</x:v>
      </x:c>
      <x:c r="Y19" s="162" t="str">
        <x:v>未完成</x:v>
      </x:c>
      <x:c r="Z19" s="162" t="str">
        <x:v>未完成</x:v>
      </x:c>
      <x:c r="AA19" s="162" t="str">
        <x:v>未完成</x:v>
      </x:c>
      <x:c r="AB19" s="162" t="str">
        <x:v>未完成</x:v>
      </x:c>
      <x:c r="AC19" s="162" t="str">
        <x:v>未完成</x:v>
      </x:c>
      <x:c r="AD19" s="162" t="str">
        <x:v>未完成</x:v>
      </x:c>
      <x:c r="AE19" s="162" t="str">
        <x:v>未完成</x:v>
      </x:c>
      <x:c r="AF19" s="162" t="str">
        <x:v>未完成</x:v>
      </x:c>
      <x:c r="AG19" s="162" t="str">
        <x:v>未完成</x:v>
      </x:c>
      <x:c r="AH19" s="162" t="str">
        <x:v>未完成</x:v>
      </x:c>
      <x:c r="AI19" s="162" t="str">
        <x:v>未完成</x:v>
      </x:c>
      <x:c r="AJ19" s="162" t="str">
        <x:v>未完成</x:v>
      </x:c>
      <x:c r="AK19" s="162" t="str">
        <x:v>未完成</x:v>
      </x:c>
      <x:c r="AL19" s="162" t="str">
        <x:v>未完成</x:v>
      </x:c>
      <x:c r="AM19" s="162" t="str">
        <x:v>未完成</x:v>
      </x:c>
      <x:c r="AN19" s="162" t="str">
        <x:v>未完成</x:v>
      </x:c>
      <x:c r="AO19" s="162" t="str">
        <x:v>未完成</x:v>
      </x:c>
      <x:c r="AP19" s="162" t="str">
        <x:v>未完成</x:v>
      </x:c>
      <x:c r="AQ19" s="162" t="str">
        <x:v>未完成</x:v>
      </x:c>
      <x:c r="AR19" s="162" t="str">
        <x:v>未完成</x:v>
      </x:c>
      <x:c r="AS19" s="162" t="str">
        <x:v>未完成</x:v>
      </x:c>
      <x:c r="AT19" s="162" t="str">
        <x:v>未完成</x:v>
      </x:c>
      <x:c r="AU19" s="162" t="str">
        <x:v>未完成</x:v>
      </x:c>
      <x:c r="AV19" s="162" t="str">
        <x:v>未完成</x:v>
      </x:c>
      <x:c r="AW19" s="162" t="str">
        <x:v>未完成</x:v>
      </x:c>
      <x:c r="AX19" s="162" t="str">
        <x:v>未完成</x:v>
      </x:c>
      <x:c r="AY19" s="162" t="str">
        <x:v>未完成</x:v>
      </x:c>
      <x:c r="AZ19" s="162" t="str">
        <x:v>未完成</x:v>
      </x:c>
      <x:c r="BA19" s="162" t="str">
        <x:v>未完成</x:v>
      </x:c>
      <x:c r="BB19" s="162" t="str">
        <x:v>未完成</x:v>
      </x:c>
      <x:c r="BC19" s="162" t="str">
        <x:v>未完成</x:v>
      </x:c>
      <x:c r="BD19" s="162" t="str">
        <x:v>未完成</x:v>
      </x:c>
      <x:c r="BE19" s="162" t="str">
        <x:v>未完成</x:v>
      </x:c>
      <x:c r="BF19" s="162" t="str">
        <x:v>未完成</x:v>
      </x:c>
      <x:c r="BG19" s="162" t="str">
        <x:v>未完成</x:v>
      </x:c>
      <x:c r="BH19" s="162" t="str">
        <x:v>未完成</x:v>
      </x:c>
      <x:c r="BI19" s="162" t="str">
        <x:v>未完成</x:v>
      </x:c>
      <x:c r="BJ19" s="162" t="str">
        <x:v>未完成</x:v>
      </x:c>
      <x:c r="BK19" s="162" t="str">
        <x:v>未完成</x:v>
      </x:c>
      <x:c r="BL19" s="162" t="str">
        <x:v>未完成</x:v>
      </x:c>
      <x:c r="BM19" s="162" t="str">
        <x:v>未完成</x:v>
      </x:c>
      <x:c r="BN19" s="162" t="str">
        <x:v>未完成</x:v>
      </x:c>
      <x:c r="BO19" s="162" t="str">
        <x:v>未完成</x:v>
      </x:c>
      <x:c r="BP19" s="162" t="str">
        <x:v>未完成</x:v>
      </x:c>
      <x:c r="BQ19" s="162" t="str">
        <x:v>未完成</x:v>
      </x:c>
      <x:c r="BR19" s="162" t="str">
        <x:v>未完成</x:v>
      </x:c>
    </x:row>
    <x:row r="20" ht="27" customHeight="1">
      <x:c r="A20" s="45" t="n">
        <x:v>14</x:v>
      </x:c>
      <x:c r="B20" s="2" t="str">
        <x:v>黄芸珂</x:v>
      </x:c>
      <x:c r="C20" s="2" t="str">
        <x:v>yunke.huang@sunwill.com.cn</x:v>
      </x:c>
      <x:c r="D20" s="2" t="str">
        <x:v>研发工程师</x:v>
      </x:c>
      <x:c r="E20" s="2" t="str">
        <x:v>研发中心</x:v>
      </x:c>
      <x:c r="F20" s="2" t="str">
        <x:v>广东基地</x:v>
      </x:c>
      <x:c r="G20" s="45" t="str">
        <x:v>启用</x:v>
      </x:c>
      <x:c r="H20" s="160" t="n">
        <x:f>COUNTIFS(J20:BR20,"完成")</x:f>
        <x:v>0</x:v>
      </x:c>
      <x:c r="I20" s="161" t="n">
        <x:f>IF((61-COUNTIFS(J20:BR20,"不适用"))=0,0,H20/(61-COUNTIFS(J20:BR20,"不适用")))</x:f>
        <x:v>0</x:v>
      </x:c>
      <x:c r="J20" s="162" t="str">
        <x:v>未完成</x:v>
      </x:c>
      <x:c r="K20" s="162" t="str">
        <x:v>未完成</x:v>
      </x:c>
      <x:c r="L20" s="162" t="str">
        <x:v>未完成</x:v>
      </x:c>
      <x:c r="M20" s="162" t="str">
        <x:v>未完成</x:v>
      </x:c>
      <x:c r="N20" s="162" t="str">
        <x:v>未完成</x:v>
      </x:c>
      <x:c r="O20" s="162" t="str">
        <x:v>未完成</x:v>
      </x:c>
      <x:c r="P20" s="162" t="str">
        <x:v>未完成</x:v>
      </x:c>
      <x:c r="Q20" s="162" t="str">
        <x:v>未完成</x:v>
      </x:c>
      <x:c r="R20" s="162" t="str">
        <x:v>未完成</x:v>
      </x:c>
      <x:c r="S20" s="162" t="str">
        <x:v>未完成</x:v>
      </x:c>
      <x:c r="T20" s="162" t="str">
        <x:v>未完成</x:v>
      </x:c>
      <x:c r="U20" s="162" t="str">
        <x:v>未完成</x:v>
      </x:c>
      <x:c r="V20" s="162" t="str">
        <x:v>未完成</x:v>
      </x:c>
      <x:c r="W20" s="162" t="str">
        <x:v>未完成</x:v>
      </x:c>
      <x:c r="X20" s="162" t="str">
        <x:v>未完成</x:v>
      </x:c>
      <x:c r="Y20" s="162" t="str">
        <x:v>未完成</x:v>
      </x:c>
      <x:c r="Z20" s="162" t="str">
        <x:v>未完成</x:v>
      </x:c>
      <x:c r="AA20" s="162" t="str">
        <x:v>未完成</x:v>
      </x:c>
      <x:c r="AB20" s="162" t="str">
        <x:v>未完成</x:v>
      </x:c>
      <x:c r="AC20" s="162" t="str">
        <x:v>未完成</x:v>
      </x:c>
      <x:c r="AD20" s="162" t="str">
        <x:v>未完成</x:v>
      </x:c>
      <x:c r="AE20" s="162" t="str">
        <x:v>未完成</x:v>
      </x:c>
      <x:c r="AF20" s="162" t="str">
        <x:v>未完成</x:v>
      </x:c>
      <x:c r="AG20" s="162" t="str">
        <x:v>未完成</x:v>
      </x:c>
      <x:c r="AH20" s="162" t="str">
        <x:v>未完成</x:v>
      </x:c>
      <x:c r="AI20" s="162" t="str">
        <x:v>未完成</x:v>
      </x:c>
      <x:c r="AJ20" s="162" t="str">
        <x:v>未完成</x:v>
      </x:c>
      <x:c r="AK20" s="162" t="str">
        <x:v>未完成</x:v>
      </x:c>
      <x:c r="AL20" s="162" t="str">
        <x:v>未完成</x:v>
      </x:c>
      <x:c r="AM20" s="162" t="str">
        <x:v>未完成</x:v>
      </x:c>
      <x:c r="AN20" s="162" t="str">
        <x:v>未完成</x:v>
      </x:c>
      <x:c r="AO20" s="162" t="str">
        <x:v>未完成</x:v>
      </x:c>
      <x:c r="AP20" s="162" t="str">
        <x:v>未完成</x:v>
      </x:c>
      <x:c r="AQ20" s="162" t="str">
        <x:v>未完成</x:v>
      </x:c>
      <x:c r="AR20" s="162" t="str">
        <x:v>未完成</x:v>
      </x:c>
      <x:c r="AS20" s="162" t="str">
        <x:v>未完成</x:v>
      </x:c>
      <x:c r="AT20" s="162" t="str">
        <x:v>未完成</x:v>
      </x:c>
      <x:c r="AU20" s="162" t="str">
        <x:v>未完成</x:v>
      </x:c>
      <x:c r="AV20" s="162" t="str">
        <x:v>未完成</x:v>
      </x:c>
      <x:c r="AW20" s="162" t="str">
        <x:v>未完成</x:v>
      </x:c>
      <x:c r="AX20" s="162" t="str">
        <x:v>未完成</x:v>
      </x:c>
      <x:c r="AY20" s="162" t="str">
        <x:v>未完成</x:v>
      </x:c>
      <x:c r="AZ20" s="162" t="str">
        <x:v>未完成</x:v>
      </x:c>
      <x:c r="BA20" s="162" t="str">
        <x:v>未完成</x:v>
      </x:c>
      <x:c r="BB20" s="162" t="str">
        <x:v>未完成</x:v>
      </x:c>
      <x:c r="BC20" s="162" t="str">
        <x:v>未完成</x:v>
      </x:c>
      <x:c r="BD20" s="162" t="str">
        <x:v>未完成</x:v>
      </x:c>
      <x:c r="BE20" s="162" t="str">
        <x:v>未完成</x:v>
      </x:c>
      <x:c r="BF20" s="162" t="str">
        <x:v>未完成</x:v>
      </x:c>
      <x:c r="BG20" s="162" t="str">
        <x:v>未完成</x:v>
      </x:c>
      <x:c r="BH20" s="162" t="str">
        <x:v>未完成</x:v>
      </x:c>
      <x:c r="BI20" s="162" t="str">
        <x:v>未完成</x:v>
      </x:c>
      <x:c r="BJ20" s="162" t="str">
        <x:v>未完成</x:v>
      </x:c>
      <x:c r="BK20" s="162" t="str">
        <x:v>未完成</x:v>
      </x:c>
      <x:c r="BL20" s="162" t="str">
        <x:v>未完成</x:v>
      </x:c>
      <x:c r="BM20" s="162" t="str">
        <x:v>未完成</x:v>
      </x:c>
      <x:c r="BN20" s="162" t="str">
        <x:v>未完成</x:v>
      </x:c>
      <x:c r="BO20" s="162" t="str">
        <x:v>未完成</x:v>
      </x:c>
      <x:c r="BP20" s="162" t="str">
        <x:v>未完成</x:v>
      </x:c>
      <x:c r="BQ20" s="162" t="str">
        <x:v>未完成</x:v>
      </x:c>
      <x:c r="BR20" s="162" t="str">
        <x:v>未完成</x:v>
      </x:c>
    </x:row>
    <x:row r="21" ht="27" customHeight="1">
      <x:c r="A21" s="45" t="n">
        <x:v>15</x:v>
      </x:c>
      <x:c r="B21" s="2" t="str">
        <x:v>庞阳</x:v>
      </x:c>
      <x:c r="C21" s="2" t="str">
        <x:v>yang.pang@sunwill.com.cn</x:v>
      </x:c>
      <x:c r="D21" s="2" t="str">
        <x:v>研发工程师</x:v>
      </x:c>
      <x:c r="E21" s="2" t="str">
        <x:v>研发中心</x:v>
      </x:c>
      <x:c r="F21" s="2" t="str">
        <x:v>广东基地</x:v>
      </x:c>
      <x:c r="G21" s="45" t="str">
        <x:v>启用</x:v>
      </x:c>
      <x:c r="H21" s="160" t="n">
        <x:f>COUNTIFS(J21:BR21,"完成")</x:f>
        <x:v>0</x:v>
      </x:c>
      <x:c r="I21" s="161" t="n">
        <x:f>IF((61-COUNTIFS(J21:BR21,"不适用"))=0,0,H21/(61-COUNTIFS(J21:BR21,"不适用")))</x:f>
        <x:v>0</x:v>
      </x:c>
      <x:c r="J21" s="162" t="str">
        <x:v>未完成</x:v>
      </x:c>
      <x:c r="K21" s="162" t="str">
        <x:v>未完成</x:v>
      </x:c>
      <x:c r="L21" s="162" t="str">
        <x:v>未完成</x:v>
      </x:c>
      <x:c r="M21" s="162" t="str">
        <x:v>未完成</x:v>
      </x:c>
      <x:c r="N21" s="162" t="str">
        <x:v>未完成</x:v>
      </x:c>
      <x:c r="O21" s="162" t="str">
        <x:v>未完成</x:v>
      </x:c>
      <x:c r="P21" s="162" t="str">
        <x:v>未完成</x:v>
      </x:c>
      <x:c r="Q21" s="162" t="str">
        <x:v>未完成</x:v>
      </x:c>
      <x:c r="R21" s="162" t="str">
        <x:v>未完成</x:v>
      </x:c>
      <x:c r="S21" s="162" t="str">
        <x:v>未完成</x:v>
      </x:c>
      <x:c r="T21" s="162" t="str">
        <x:v>未完成</x:v>
      </x:c>
      <x:c r="U21" s="162" t="str">
        <x:v>未完成</x:v>
      </x:c>
      <x:c r="V21" s="162" t="str">
        <x:v>未完成</x:v>
      </x:c>
      <x:c r="W21" s="162" t="str">
        <x:v>未完成</x:v>
      </x:c>
      <x:c r="X21" s="162" t="str">
        <x:v>未完成</x:v>
      </x:c>
      <x:c r="Y21" s="162" t="str">
        <x:v>未完成</x:v>
      </x:c>
      <x:c r="Z21" s="162" t="str">
        <x:v>未完成</x:v>
      </x:c>
      <x:c r="AA21" s="162" t="str">
        <x:v>未完成</x:v>
      </x:c>
      <x:c r="AB21" s="162" t="str">
        <x:v>未完成</x:v>
      </x:c>
      <x:c r="AC21" s="162" t="str">
        <x:v>未完成</x:v>
      </x:c>
      <x:c r="AD21" s="162" t="str">
        <x:v>未完成</x:v>
      </x:c>
      <x:c r="AE21" s="162" t="str">
        <x:v>未完成</x:v>
      </x:c>
      <x:c r="AF21" s="162" t="str">
        <x:v>未完成</x:v>
      </x:c>
      <x:c r="AG21" s="162" t="str">
        <x:v>未完成</x:v>
      </x:c>
      <x:c r="AH21" s="162" t="str">
        <x:v>未完成</x:v>
      </x:c>
      <x:c r="AI21" s="162" t="str">
        <x:v>未完成</x:v>
      </x:c>
      <x:c r="AJ21" s="162" t="str">
        <x:v>未完成</x:v>
      </x:c>
      <x:c r="AK21" s="162" t="str">
        <x:v>未完成</x:v>
      </x:c>
      <x:c r="AL21" s="162" t="str">
        <x:v>未完成</x:v>
      </x:c>
      <x:c r="AM21" s="162" t="str">
        <x:v>未完成</x:v>
      </x:c>
      <x:c r="AN21" s="162" t="str">
        <x:v>未完成</x:v>
      </x:c>
      <x:c r="AO21" s="162" t="str">
        <x:v>未完成</x:v>
      </x:c>
      <x:c r="AP21" s="162" t="str">
        <x:v>未完成</x:v>
      </x:c>
      <x:c r="AQ21" s="162" t="str">
        <x:v>未完成</x:v>
      </x:c>
      <x:c r="AR21" s="162" t="str">
        <x:v>未完成</x:v>
      </x:c>
      <x:c r="AS21" s="162" t="str">
        <x:v>未完成</x:v>
      </x:c>
      <x:c r="AT21" s="162" t="str">
        <x:v>未完成</x:v>
      </x:c>
      <x:c r="AU21" s="162" t="str">
        <x:v>未完成</x:v>
      </x:c>
      <x:c r="AV21" s="162" t="str">
        <x:v>未完成</x:v>
      </x:c>
      <x:c r="AW21" s="162" t="str">
        <x:v>未完成</x:v>
      </x:c>
      <x:c r="AX21" s="162" t="str">
        <x:v>未完成</x:v>
      </x:c>
      <x:c r="AY21" s="162" t="str">
        <x:v>未完成</x:v>
      </x:c>
      <x:c r="AZ21" s="162" t="str">
        <x:v>未完成</x:v>
      </x:c>
      <x:c r="BA21" s="162" t="str">
        <x:v>未完成</x:v>
      </x:c>
      <x:c r="BB21" s="162" t="str">
        <x:v>未完成</x:v>
      </x:c>
      <x:c r="BC21" s="162" t="str">
        <x:v>未完成</x:v>
      </x:c>
      <x:c r="BD21" s="162" t="str">
        <x:v>未完成</x:v>
      </x:c>
      <x:c r="BE21" s="162" t="str">
        <x:v>未完成</x:v>
      </x:c>
      <x:c r="BF21" s="162" t="str">
        <x:v>未完成</x:v>
      </x:c>
      <x:c r="BG21" s="162" t="str">
        <x:v>未完成</x:v>
      </x:c>
      <x:c r="BH21" s="162" t="str">
        <x:v>未完成</x:v>
      </x:c>
      <x:c r="BI21" s="162" t="str">
        <x:v>未完成</x:v>
      </x:c>
      <x:c r="BJ21" s="162" t="str">
        <x:v>未完成</x:v>
      </x:c>
      <x:c r="BK21" s="162" t="str">
        <x:v>未完成</x:v>
      </x:c>
      <x:c r="BL21" s="162" t="str">
        <x:v>未完成</x:v>
      </x:c>
      <x:c r="BM21" s="162" t="str">
        <x:v>未完成</x:v>
      </x:c>
      <x:c r="BN21" s="162" t="str">
        <x:v>未完成</x:v>
      </x:c>
      <x:c r="BO21" s="162" t="str">
        <x:v>未完成</x:v>
      </x:c>
      <x:c r="BP21" s="162" t="str">
        <x:v>未完成</x:v>
      </x:c>
      <x:c r="BQ21" s="162" t="str">
        <x:v>未完成</x:v>
      </x:c>
      <x:c r="BR21" s="162" t="str">
        <x:v>未完成</x:v>
      </x:c>
    </x:row>
    <x:row r="22" ht="27" customHeight="1">
      <x:c r="A22" s="45" t="n">
        <x:v>16</x:v>
      </x:c>
      <x:c r="B22" s="2" t="str">
        <x:v>姜艺</x:v>
      </x:c>
      <x:c r="C22" s="2" t="str">
        <x:v>yi.jiang@sunwill.com.cn</x:v>
      </x:c>
      <x:c r="D22" s="2" t="str">
        <x:v>研发工程师</x:v>
      </x:c>
      <x:c r="E22" s="2" t="str">
        <x:v>研发中心</x:v>
      </x:c>
      <x:c r="F22" s="2" t="str">
        <x:v>广东基地</x:v>
      </x:c>
      <x:c r="G22" s="45" t="str">
        <x:v>启用</x:v>
      </x:c>
      <x:c r="H22" s="160" t="n">
        <x:f>COUNTIFS(J22:BR22,"完成")</x:f>
        <x:v>0</x:v>
      </x:c>
      <x:c r="I22" s="161" t="n">
        <x:f>IF((61-COUNTIFS(J22:BR22,"不适用"))=0,0,H22/(61-COUNTIFS(J22:BR22,"不适用")))</x:f>
        <x:v>0</x:v>
      </x:c>
      <x:c r="J22" s="162" t="str">
        <x:v>未完成</x:v>
      </x:c>
      <x:c r="K22" s="162" t="str">
        <x:v>未完成</x:v>
      </x:c>
      <x:c r="L22" s="162" t="str">
        <x:v>未完成</x:v>
      </x:c>
      <x:c r="M22" s="162" t="str">
        <x:v>未完成</x:v>
      </x:c>
      <x:c r="N22" s="162" t="str">
        <x:v>未完成</x:v>
      </x:c>
      <x:c r="O22" s="162" t="str">
        <x:v>未完成</x:v>
      </x:c>
      <x:c r="P22" s="162" t="str">
        <x:v>未完成</x:v>
      </x:c>
      <x:c r="Q22" s="162" t="str">
        <x:v>未完成</x:v>
      </x:c>
      <x:c r="R22" s="162" t="str">
        <x:v>未完成</x:v>
      </x:c>
      <x:c r="S22" s="162" t="str">
        <x:v>未完成</x:v>
      </x:c>
      <x:c r="T22" s="162" t="str">
        <x:v>未完成</x:v>
      </x:c>
      <x:c r="U22" s="162" t="str">
        <x:v>未完成</x:v>
      </x:c>
      <x:c r="V22" s="162" t="str">
        <x:v>未完成</x:v>
      </x:c>
      <x:c r="W22" s="162" t="str">
        <x:v>未完成</x:v>
      </x:c>
      <x:c r="X22" s="162" t="str">
        <x:v>未完成</x:v>
      </x:c>
      <x:c r="Y22" s="162" t="str">
        <x:v>未完成</x:v>
      </x:c>
      <x:c r="Z22" s="162" t="str">
        <x:v>未完成</x:v>
      </x:c>
      <x:c r="AA22" s="162" t="str">
        <x:v>未完成</x:v>
      </x:c>
      <x:c r="AB22" s="162" t="str">
        <x:v>未完成</x:v>
      </x:c>
      <x:c r="AC22" s="162" t="str">
        <x:v>未完成</x:v>
      </x:c>
      <x:c r="AD22" s="162" t="str">
        <x:v>未完成</x:v>
      </x:c>
      <x:c r="AE22" s="162" t="str">
        <x:v>未完成</x:v>
      </x:c>
      <x:c r="AF22" s="162" t="str">
        <x:v>未完成</x:v>
      </x:c>
      <x:c r="AG22" s="162" t="str">
        <x:v>未完成</x:v>
      </x:c>
      <x:c r="AH22" s="162" t="str">
        <x:v>未完成</x:v>
      </x:c>
      <x:c r="AI22" s="162" t="str">
        <x:v>未完成</x:v>
      </x:c>
      <x:c r="AJ22" s="162" t="str">
        <x:v>未完成</x:v>
      </x:c>
      <x:c r="AK22" s="162" t="str">
        <x:v>未完成</x:v>
      </x:c>
      <x:c r="AL22" s="162" t="str">
        <x:v>未完成</x:v>
      </x:c>
      <x:c r="AM22" s="162" t="str">
        <x:v>未完成</x:v>
      </x:c>
      <x:c r="AN22" s="162" t="str">
        <x:v>未完成</x:v>
      </x:c>
      <x:c r="AO22" s="162" t="str">
        <x:v>未完成</x:v>
      </x:c>
      <x:c r="AP22" s="162" t="str">
        <x:v>未完成</x:v>
      </x:c>
      <x:c r="AQ22" s="162" t="str">
        <x:v>未完成</x:v>
      </x:c>
      <x:c r="AR22" s="162" t="str">
        <x:v>未完成</x:v>
      </x:c>
      <x:c r="AS22" s="162" t="str">
        <x:v>未完成</x:v>
      </x:c>
      <x:c r="AT22" s="162" t="str">
        <x:v>未完成</x:v>
      </x:c>
      <x:c r="AU22" s="162" t="str">
        <x:v>未完成</x:v>
      </x:c>
      <x:c r="AV22" s="162" t="str">
        <x:v>未完成</x:v>
      </x:c>
      <x:c r="AW22" s="162" t="str">
        <x:v>未完成</x:v>
      </x:c>
      <x:c r="AX22" s="162" t="str">
        <x:v>未完成</x:v>
      </x:c>
      <x:c r="AY22" s="162" t="str">
        <x:v>未完成</x:v>
      </x:c>
      <x:c r="AZ22" s="162" t="str">
        <x:v>未完成</x:v>
      </x:c>
      <x:c r="BA22" s="162" t="str">
        <x:v>未完成</x:v>
      </x:c>
      <x:c r="BB22" s="162" t="str">
        <x:v>未完成</x:v>
      </x:c>
      <x:c r="BC22" s="162" t="str">
        <x:v>未完成</x:v>
      </x:c>
      <x:c r="BD22" s="162" t="str">
        <x:v>未完成</x:v>
      </x:c>
      <x:c r="BE22" s="162" t="str">
        <x:v>未完成</x:v>
      </x:c>
      <x:c r="BF22" s="162" t="str">
        <x:v>未完成</x:v>
      </x:c>
      <x:c r="BG22" s="162" t="str">
        <x:v>未完成</x:v>
      </x:c>
      <x:c r="BH22" s="162" t="str">
        <x:v>未完成</x:v>
      </x:c>
      <x:c r="BI22" s="162" t="str">
        <x:v>未完成</x:v>
      </x:c>
      <x:c r="BJ22" s="162" t="str">
        <x:v>未完成</x:v>
      </x:c>
      <x:c r="BK22" s="162" t="str">
        <x:v>未完成</x:v>
      </x:c>
      <x:c r="BL22" s="162" t="str">
        <x:v>未完成</x:v>
      </x:c>
      <x:c r="BM22" s="162" t="str">
        <x:v>未完成</x:v>
      </x:c>
      <x:c r="BN22" s="162" t="str">
        <x:v>未完成</x:v>
      </x:c>
      <x:c r="BO22" s="162" t="str">
        <x:v>未完成</x:v>
      </x:c>
      <x:c r="BP22" s="162" t="str">
        <x:v>未完成</x:v>
      </x:c>
      <x:c r="BQ22" s="162" t="str">
        <x:v>未完成</x:v>
      </x:c>
      <x:c r="BR22" s="162" t="str">
        <x:v>未完成</x:v>
      </x:c>
    </x:row>
    <x:row r="23" ht="27" customHeight="1">
      <x:c r="A23" s="45" t="n">
        <x:v>17</x:v>
      </x:c>
      <x:c r="B23" s="2" t="str">
        <x:v>胡天赐</x:v>
      </x:c>
      <x:c r="C23" s="2" t="str">
        <x:v>zsstrd03@sunwill.com.cn</x:v>
      </x:c>
      <x:c r="D23" s="2" t="str">
        <x:v>研发经理</x:v>
      </x:c>
      <x:c r="E23" s="2" t="str">
        <x:v>研发中心</x:v>
      </x:c>
      <x:c r="F23" s="2" t="str">
        <x:v>广东基地</x:v>
      </x:c>
      <x:c r="G23" s="45" t="str">
        <x:v>启用</x:v>
      </x:c>
      <x:c r="H23" s="160" t="n">
        <x:f>COUNTIFS(J23:BR23,"完成")</x:f>
        <x:v>0</x:v>
      </x:c>
      <x:c r="I23" s="161" t="n">
        <x:f>IF((61-COUNTIFS(J23:BR23,"不适用"))=0,0,H23/(61-COUNTIFS(J23:BR23,"不适用")))</x:f>
        <x:v>0</x:v>
      </x:c>
      <x:c r="J23" s="162" t="str">
        <x:v>未完成</x:v>
      </x:c>
      <x:c r="K23" s="162" t="str">
        <x:v>未完成</x:v>
      </x:c>
      <x:c r="L23" s="162" t="str">
        <x:v>未完成</x:v>
      </x:c>
      <x:c r="M23" s="162" t="str">
        <x:v>未完成</x:v>
      </x:c>
      <x:c r="N23" s="162" t="str">
        <x:v>未完成</x:v>
      </x:c>
      <x:c r="O23" s="162" t="str">
        <x:v>未完成</x:v>
      </x:c>
      <x:c r="P23" s="162" t="str">
        <x:v>未完成</x:v>
      </x:c>
      <x:c r="Q23" s="162" t="str">
        <x:v>未完成</x:v>
      </x:c>
      <x:c r="R23" s="162" t="str">
        <x:v>未完成</x:v>
      </x:c>
      <x:c r="S23" s="162" t="str">
        <x:v>未完成</x:v>
      </x:c>
      <x:c r="T23" s="162" t="str">
        <x:v>未完成</x:v>
      </x:c>
      <x:c r="U23" s="162" t="str">
        <x:v>未完成</x:v>
      </x:c>
      <x:c r="V23" s="162" t="str">
        <x:v>未完成</x:v>
      </x:c>
      <x:c r="W23" s="162" t="str">
        <x:v>未完成</x:v>
      </x:c>
      <x:c r="X23" s="162" t="str">
        <x:v>未完成</x:v>
      </x:c>
      <x:c r="Y23" s="162" t="str">
        <x:v>未完成</x:v>
      </x:c>
      <x:c r="Z23" s="162" t="str">
        <x:v>未完成</x:v>
      </x:c>
      <x:c r="AA23" s="162" t="str">
        <x:v>未完成</x:v>
      </x:c>
      <x:c r="AB23" s="162" t="str">
        <x:v>未完成</x:v>
      </x:c>
      <x:c r="AC23" s="162" t="str">
        <x:v>未完成</x:v>
      </x:c>
      <x:c r="AD23" s="162" t="str">
        <x:v>未完成</x:v>
      </x:c>
      <x:c r="AE23" s="162" t="str">
        <x:v>未完成</x:v>
      </x:c>
      <x:c r="AF23" s="162" t="str">
        <x:v>未完成</x:v>
      </x:c>
      <x:c r="AG23" s="162" t="str">
        <x:v>未完成</x:v>
      </x:c>
      <x:c r="AH23" s="162" t="str">
        <x:v>未完成</x:v>
      </x:c>
      <x:c r="AI23" s="162" t="str">
        <x:v>未完成</x:v>
      </x:c>
      <x:c r="AJ23" s="162" t="str">
        <x:v>未完成</x:v>
      </x:c>
      <x:c r="AK23" s="162" t="str">
        <x:v>未完成</x:v>
      </x:c>
      <x:c r="AL23" s="162" t="str">
        <x:v>未完成</x:v>
      </x:c>
      <x:c r="AM23" s="162" t="str">
        <x:v>未完成</x:v>
      </x:c>
      <x:c r="AN23" s="162" t="str">
        <x:v>未完成</x:v>
      </x:c>
      <x:c r="AO23" s="162" t="str">
        <x:v>未完成</x:v>
      </x:c>
      <x:c r="AP23" s="162" t="str">
        <x:v>未完成</x:v>
      </x:c>
      <x:c r="AQ23" s="162" t="str">
        <x:v>未完成</x:v>
      </x:c>
      <x:c r="AR23" s="162" t="str">
        <x:v>未完成</x:v>
      </x:c>
      <x:c r="AS23" s="162" t="str">
        <x:v>未完成</x:v>
      </x:c>
      <x:c r="AT23" s="162" t="str">
        <x:v>未完成</x:v>
      </x:c>
      <x:c r="AU23" s="162" t="str">
        <x:v>未完成</x:v>
      </x:c>
      <x:c r="AV23" s="162" t="str">
        <x:v>未完成</x:v>
      </x:c>
      <x:c r="AW23" s="162" t="str">
        <x:v>未完成</x:v>
      </x:c>
      <x:c r="AX23" s="162" t="str">
        <x:v>未完成</x:v>
      </x:c>
      <x:c r="AY23" s="162" t="str">
        <x:v>未完成</x:v>
      </x:c>
      <x:c r="AZ23" s="162" t="str">
        <x:v>未完成</x:v>
      </x:c>
      <x:c r="BA23" s="162" t="str">
        <x:v>未完成</x:v>
      </x:c>
      <x:c r="BB23" s="162" t="str">
        <x:v>未完成</x:v>
      </x:c>
      <x:c r="BC23" s="162" t="str">
        <x:v>未完成</x:v>
      </x:c>
      <x:c r="BD23" s="162" t="str">
        <x:v>未完成</x:v>
      </x:c>
      <x:c r="BE23" s="162" t="str">
        <x:v>未完成</x:v>
      </x:c>
      <x:c r="BF23" s="162" t="str">
        <x:v>未完成</x:v>
      </x:c>
      <x:c r="BG23" s="162" t="str">
        <x:v>未完成</x:v>
      </x:c>
      <x:c r="BH23" s="162" t="str">
        <x:v>未完成</x:v>
      </x:c>
      <x:c r="BI23" s="162" t="str">
        <x:v>未完成</x:v>
      </x:c>
      <x:c r="BJ23" s="162" t="str">
        <x:v>未完成</x:v>
      </x:c>
      <x:c r="BK23" s="162" t="str">
        <x:v>未完成</x:v>
      </x:c>
      <x:c r="BL23" s="162" t="str">
        <x:v>未完成</x:v>
      </x:c>
      <x:c r="BM23" s="162" t="str">
        <x:v>未完成</x:v>
      </x:c>
      <x:c r="BN23" s="162" t="str">
        <x:v>未完成</x:v>
      </x:c>
      <x:c r="BO23" s="162" t="str">
        <x:v>未完成</x:v>
      </x:c>
      <x:c r="BP23" s="162" t="str">
        <x:v>未完成</x:v>
      </x:c>
      <x:c r="BQ23" s="162" t="str">
        <x:v>未完成</x:v>
      </x:c>
      <x:c r="BR23" s="162" t="str">
        <x:v>未完成</x:v>
      </x:c>
    </x:row>
    <x:row r="24" ht="27" customHeight="1">
      <x:c r="A24" s="45" t="n">
        <x:v>18</x:v>
      </x:c>
      <x:c r="B24" s="2" t="str">
        <x:v>万朝永</x:v>
      </x:c>
      <x:c r="C24" s="2" t="str">
        <x:v>chaoyong.wan@sunwill.com.cn</x:v>
      </x:c>
      <x:c r="D24" s="2" t="str">
        <x:v>挤出工程师</x:v>
      </x:c>
      <x:c r="E24" s="2" t="str">
        <x:v>研发中心</x:v>
      </x:c>
      <x:c r="F24" s="2" t="str">
        <x:v>广东基地</x:v>
      </x:c>
      <x:c r="G24" s="45" t="str">
        <x:v>启用</x:v>
      </x:c>
      <x:c r="H24" s="160" t="n">
        <x:f>COUNTIFS(J24:BR24,"完成")</x:f>
        <x:v>0</x:v>
      </x:c>
      <x:c r="I24" s="161" t="n">
        <x:f>IF((61-COUNTIFS(J24:BR24,"不适用"))=0,0,H24/(61-COUNTIFS(J24:BR24,"不适用")))</x:f>
        <x:v>0</x:v>
      </x:c>
      <x:c r="J24" s="162" t="str">
        <x:v>未完成</x:v>
      </x:c>
      <x:c r="K24" s="162" t="str">
        <x:v>未完成</x:v>
      </x:c>
      <x:c r="L24" s="162" t="str">
        <x:v>未完成</x:v>
      </x:c>
      <x:c r="M24" s="162" t="str">
        <x:v>未完成</x:v>
      </x:c>
      <x:c r="N24" s="162" t="str">
        <x:v>未完成</x:v>
      </x:c>
      <x:c r="O24" s="162" t="str">
        <x:v>未完成</x:v>
      </x:c>
      <x:c r="P24" s="162" t="str">
        <x:v>未完成</x:v>
      </x:c>
      <x:c r="Q24" s="162" t="str">
        <x:v>未完成</x:v>
      </x:c>
      <x:c r="R24" s="162" t="str">
        <x:v>未完成</x:v>
      </x:c>
      <x:c r="S24" s="162" t="str">
        <x:v>未完成</x:v>
      </x:c>
      <x:c r="T24" s="162" t="str">
        <x:v>未完成</x:v>
      </x:c>
      <x:c r="U24" s="162" t="str">
        <x:v>未完成</x:v>
      </x:c>
      <x:c r="V24" s="162" t="str">
        <x:v>未完成</x:v>
      </x:c>
      <x:c r="W24" s="162" t="str">
        <x:v>未完成</x:v>
      </x:c>
      <x:c r="X24" s="162" t="str">
        <x:v>未完成</x:v>
      </x:c>
      <x:c r="Y24" s="162" t="str">
        <x:v>未完成</x:v>
      </x:c>
      <x:c r="Z24" s="162" t="str">
        <x:v>未完成</x:v>
      </x:c>
      <x:c r="AA24" s="162" t="str">
        <x:v>未完成</x:v>
      </x:c>
      <x:c r="AB24" s="162" t="str">
        <x:v>未完成</x:v>
      </x:c>
      <x:c r="AC24" s="162" t="str">
        <x:v>未完成</x:v>
      </x:c>
      <x:c r="AD24" s="162" t="str">
        <x:v>未完成</x:v>
      </x:c>
      <x:c r="AE24" s="162" t="str">
        <x:v>未完成</x:v>
      </x:c>
      <x:c r="AF24" s="162" t="str">
        <x:v>未完成</x:v>
      </x:c>
      <x:c r="AG24" s="162" t="str">
        <x:v>未完成</x:v>
      </x:c>
      <x:c r="AH24" s="162" t="str">
        <x:v>未完成</x:v>
      </x:c>
      <x:c r="AI24" s="162" t="str">
        <x:v>未完成</x:v>
      </x:c>
      <x:c r="AJ24" s="162" t="str">
        <x:v>未完成</x:v>
      </x:c>
      <x:c r="AK24" s="162" t="str">
        <x:v>未完成</x:v>
      </x:c>
      <x:c r="AL24" s="162" t="str">
        <x:v>未完成</x:v>
      </x:c>
      <x:c r="AM24" s="162" t="str">
        <x:v>未完成</x:v>
      </x:c>
      <x:c r="AN24" s="162" t="str">
        <x:v>未完成</x:v>
      </x:c>
      <x:c r="AO24" s="162" t="str">
        <x:v>未完成</x:v>
      </x:c>
      <x:c r="AP24" s="162" t="str">
        <x:v>未完成</x:v>
      </x:c>
      <x:c r="AQ24" s="162" t="str">
        <x:v>未完成</x:v>
      </x:c>
      <x:c r="AR24" s="162" t="str">
        <x:v>未完成</x:v>
      </x:c>
      <x:c r="AS24" s="162" t="str">
        <x:v>未完成</x:v>
      </x:c>
      <x:c r="AT24" s="162" t="str">
        <x:v>未完成</x:v>
      </x:c>
      <x:c r="AU24" s="162" t="str">
        <x:v>未完成</x:v>
      </x:c>
      <x:c r="AV24" s="162" t="str">
        <x:v>未完成</x:v>
      </x:c>
      <x:c r="AW24" s="162" t="str">
        <x:v>未完成</x:v>
      </x:c>
      <x:c r="AX24" s="162" t="str">
        <x:v>未完成</x:v>
      </x:c>
      <x:c r="AY24" s="162" t="str">
        <x:v>未完成</x:v>
      </x:c>
      <x:c r="AZ24" s="162" t="str">
        <x:v>未完成</x:v>
      </x:c>
      <x:c r="BA24" s="162" t="str">
        <x:v>未完成</x:v>
      </x:c>
      <x:c r="BB24" s="162" t="str">
        <x:v>未完成</x:v>
      </x:c>
      <x:c r="BC24" s="162" t="str">
        <x:v>未完成</x:v>
      </x:c>
      <x:c r="BD24" s="162" t="str">
        <x:v>未完成</x:v>
      </x:c>
      <x:c r="BE24" s="162" t="str">
        <x:v>未完成</x:v>
      </x:c>
      <x:c r="BF24" s="162" t="str">
        <x:v>未完成</x:v>
      </x:c>
      <x:c r="BG24" s="162" t="str">
        <x:v>未完成</x:v>
      </x:c>
      <x:c r="BH24" s="162" t="str">
        <x:v>未完成</x:v>
      </x:c>
      <x:c r="BI24" s="162" t="str">
        <x:v>未完成</x:v>
      </x:c>
      <x:c r="BJ24" s="162" t="str">
        <x:v>未完成</x:v>
      </x:c>
      <x:c r="BK24" s="162" t="str">
        <x:v>未完成</x:v>
      </x:c>
      <x:c r="BL24" s="162" t="str">
        <x:v>未完成</x:v>
      </x:c>
      <x:c r="BM24" s="162" t="str">
        <x:v>未完成</x:v>
      </x:c>
      <x:c r="BN24" s="162" t="str">
        <x:v>未完成</x:v>
      </x:c>
      <x:c r="BO24" s="162" t="str">
        <x:v>未完成</x:v>
      </x:c>
      <x:c r="BP24" s="162" t="str">
        <x:v>未完成</x:v>
      </x:c>
      <x:c r="BQ24" s="162" t="str">
        <x:v>未完成</x:v>
      </x:c>
      <x:c r="BR24" s="162" t="str">
        <x:v>未完成</x:v>
      </x:c>
    </x:row>
    <x:row r="25" ht="27" customHeight="1">
      <x:c r="A25" s="45" t="n">
        <x:v>19</x:v>
      </x:c>
      <x:c r="B25" s="2" t="str">
        <x:v>周锦</x:v>
      </x:c>
      <x:c r="C25" s="2" t="str">
        <x:v>jin.zhou@sunwill.com.cn</x:v>
      </x:c>
      <x:c r="D25" s="2" t="str">
        <x:v>注塑工程师</x:v>
      </x:c>
      <x:c r="E25" s="2" t="str">
        <x:v>研发中心</x:v>
      </x:c>
      <x:c r="F25" s="2" t="str">
        <x:v>广东基地</x:v>
      </x:c>
      <x:c r="G25" s="45" t="str">
        <x:v>启用</x:v>
      </x:c>
      <x:c r="H25" s="160" t="n">
        <x:f>COUNTIFS(J25:BR25,"完成")</x:f>
        <x:v>0</x:v>
      </x:c>
      <x:c r="I25" s="161" t="n">
        <x:f>IF((61-COUNTIFS(J25:BR25,"不适用"))=0,0,H25/(61-COUNTIFS(J25:BR25,"不适用")))</x:f>
        <x:v>0</x:v>
      </x:c>
      <x:c r="J25" s="162" t="str">
        <x:v>未完成</x:v>
      </x:c>
      <x:c r="K25" s="162" t="str">
        <x:v>未完成</x:v>
      </x:c>
      <x:c r="L25" s="162" t="str">
        <x:v>未完成</x:v>
      </x:c>
      <x:c r="M25" s="162" t="str">
        <x:v>未完成</x:v>
      </x:c>
      <x:c r="N25" s="162" t="str">
        <x:v>未完成</x:v>
      </x:c>
      <x:c r="O25" s="162" t="str">
        <x:v>未完成</x:v>
      </x:c>
      <x:c r="P25" s="162" t="str">
        <x:v>未完成</x:v>
      </x:c>
      <x:c r="Q25" s="162" t="str">
        <x:v>未完成</x:v>
      </x:c>
      <x:c r="R25" s="162" t="str">
        <x:v>未完成</x:v>
      </x:c>
      <x:c r="S25" s="162" t="str">
        <x:v>未完成</x:v>
      </x:c>
      <x:c r="T25" s="162" t="str">
        <x:v>未完成</x:v>
      </x:c>
      <x:c r="U25" s="162" t="str">
        <x:v>未完成</x:v>
      </x:c>
      <x:c r="V25" s="162" t="str">
        <x:v>未完成</x:v>
      </x:c>
      <x:c r="W25" s="162" t="str">
        <x:v>未完成</x:v>
      </x:c>
      <x:c r="X25" s="162" t="str">
        <x:v>未完成</x:v>
      </x:c>
      <x:c r="Y25" s="162" t="str">
        <x:v>未完成</x:v>
      </x:c>
      <x:c r="Z25" s="162" t="str">
        <x:v>未完成</x:v>
      </x:c>
      <x:c r="AA25" s="162" t="str">
        <x:v>未完成</x:v>
      </x:c>
      <x:c r="AB25" s="162" t="str">
        <x:v>未完成</x:v>
      </x:c>
      <x:c r="AC25" s="162" t="str">
        <x:v>未完成</x:v>
      </x:c>
      <x:c r="AD25" s="162" t="str">
        <x:v>未完成</x:v>
      </x:c>
      <x:c r="AE25" s="162" t="str">
        <x:v>未完成</x:v>
      </x:c>
      <x:c r="AF25" s="162" t="str">
        <x:v>未完成</x:v>
      </x:c>
      <x:c r="AG25" s="162" t="str">
        <x:v>未完成</x:v>
      </x:c>
      <x:c r="AH25" s="162" t="str">
        <x:v>未完成</x:v>
      </x:c>
      <x:c r="AI25" s="162" t="str">
        <x:v>未完成</x:v>
      </x:c>
      <x:c r="AJ25" s="162" t="str">
        <x:v>未完成</x:v>
      </x:c>
      <x:c r="AK25" s="162" t="str">
        <x:v>未完成</x:v>
      </x:c>
      <x:c r="AL25" s="162" t="str">
        <x:v>未完成</x:v>
      </x:c>
      <x:c r="AM25" s="162" t="str">
        <x:v>未完成</x:v>
      </x:c>
      <x:c r="AN25" s="162" t="str">
        <x:v>未完成</x:v>
      </x:c>
      <x:c r="AO25" s="162" t="str">
        <x:v>未完成</x:v>
      </x:c>
      <x:c r="AP25" s="162" t="str">
        <x:v>未完成</x:v>
      </x:c>
      <x:c r="AQ25" s="162" t="str">
        <x:v>未完成</x:v>
      </x:c>
      <x:c r="AR25" s="162" t="str">
        <x:v>未完成</x:v>
      </x:c>
      <x:c r="AS25" s="162" t="str">
        <x:v>未完成</x:v>
      </x:c>
      <x:c r="AT25" s="162" t="str">
        <x:v>未完成</x:v>
      </x:c>
      <x:c r="AU25" s="162" t="str">
        <x:v>未完成</x:v>
      </x:c>
      <x:c r="AV25" s="162" t="str">
        <x:v>未完成</x:v>
      </x:c>
      <x:c r="AW25" s="162" t="str">
        <x:v>未完成</x:v>
      </x:c>
      <x:c r="AX25" s="162" t="str">
        <x:v>未完成</x:v>
      </x:c>
      <x:c r="AY25" s="162" t="str">
        <x:v>未完成</x:v>
      </x:c>
      <x:c r="AZ25" s="162" t="str">
        <x:v>未完成</x:v>
      </x:c>
      <x:c r="BA25" s="162" t="str">
        <x:v>未完成</x:v>
      </x:c>
      <x:c r="BB25" s="162" t="str">
        <x:v>未完成</x:v>
      </x:c>
      <x:c r="BC25" s="162" t="str">
        <x:v>未完成</x:v>
      </x:c>
      <x:c r="BD25" s="162" t="str">
        <x:v>未完成</x:v>
      </x:c>
      <x:c r="BE25" s="162" t="str">
        <x:v>未完成</x:v>
      </x:c>
      <x:c r="BF25" s="162" t="str">
        <x:v>未完成</x:v>
      </x:c>
      <x:c r="BG25" s="162" t="str">
        <x:v>未完成</x:v>
      </x:c>
      <x:c r="BH25" s="162" t="str">
        <x:v>未完成</x:v>
      </x:c>
      <x:c r="BI25" s="162" t="str">
        <x:v>未完成</x:v>
      </x:c>
      <x:c r="BJ25" s="162" t="str">
        <x:v>未完成</x:v>
      </x:c>
      <x:c r="BK25" s="162" t="str">
        <x:v>未完成</x:v>
      </x:c>
      <x:c r="BL25" s="162" t="str">
        <x:v>未完成</x:v>
      </x:c>
      <x:c r="BM25" s="162" t="str">
        <x:v>未完成</x:v>
      </x:c>
      <x:c r="BN25" s="162" t="str">
        <x:v>未完成</x:v>
      </x:c>
      <x:c r="BO25" s="162" t="str">
        <x:v>未完成</x:v>
      </x:c>
      <x:c r="BP25" s="162" t="str">
        <x:v>未完成</x:v>
      </x:c>
      <x:c r="BQ25" s="162" t="str">
        <x:v>未完成</x:v>
      </x:c>
      <x:c r="BR25" s="162" t="str">
        <x:v>未完成</x:v>
      </x:c>
    </x:row>
    <x:row r="26" ht="27" customHeight="1">
      <x:c r="A26" s="45" t="n">
        <x:v>20</x:v>
      </x:c>
      <x:c r="B26" s="2" t="str">
        <x:v>杜发钊</x:v>
      </x:c>
      <x:c r="C26" s="2" t="str">
        <x:v>zsstpd04@sunwill.com.cn</x:v>
      </x:c>
      <x:c r="D26" s="2" t="str">
        <x:v>研发工程师</x:v>
      </x:c>
      <x:c r="E26" s="2" t="str">
        <x:v>研发中心</x:v>
      </x:c>
      <x:c r="F26" s="2" t="str">
        <x:v>广东基地</x:v>
      </x:c>
      <x:c r="G26" s="45" t="str">
        <x:v>启用</x:v>
      </x:c>
      <x:c r="H26" s="160" t="n">
        <x:f>COUNTIFS(J26:BR26,"完成")</x:f>
        <x:v>0</x:v>
      </x:c>
      <x:c r="I26" s="161" t="n">
        <x:f>IF((61-COUNTIFS(J26:BR26,"不适用"))=0,0,H26/(61-COUNTIFS(J26:BR26,"不适用")))</x:f>
        <x:v>0</x:v>
      </x:c>
      <x:c r="J26" s="162" t="str">
        <x:v>未完成</x:v>
      </x:c>
      <x:c r="K26" s="162" t="str">
        <x:v>未完成</x:v>
      </x:c>
      <x:c r="L26" s="162" t="str">
        <x:v>未完成</x:v>
      </x:c>
      <x:c r="M26" s="162" t="str">
        <x:v>未完成</x:v>
      </x:c>
      <x:c r="N26" s="162" t="str">
        <x:v>未完成</x:v>
      </x:c>
      <x:c r="O26" s="162" t="str">
        <x:v>未完成</x:v>
      </x:c>
      <x:c r="P26" s="162" t="str">
        <x:v>未完成</x:v>
      </x:c>
      <x:c r="Q26" s="162" t="str">
        <x:v>未完成</x:v>
      </x:c>
      <x:c r="R26" s="162" t="str">
        <x:v>未完成</x:v>
      </x:c>
      <x:c r="S26" s="162" t="str">
        <x:v>未完成</x:v>
      </x:c>
      <x:c r="T26" s="162" t="str">
        <x:v>未完成</x:v>
      </x:c>
      <x:c r="U26" s="162" t="str">
        <x:v>未完成</x:v>
      </x:c>
      <x:c r="V26" s="162" t="str">
        <x:v>未完成</x:v>
      </x:c>
      <x:c r="W26" s="162" t="str">
        <x:v>未完成</x:v>
      </x:c>
      <x:c r="X26" s="162" t="str">
        <x:v>未完成</x:v>
      </x:c>
      <x:c r="Y26" s="162" t="str">
        <x:v>未完成</x:v>
      </x:c>
      <x:c r="Z26" s="162" t="str">
        <x:v>未完成</x:v>
      </x:c>
      <x:c r="AA26" s="162" t="str">
        <x:v>未完成</x:v>
      </x:c>
      <x:c r="AB26" s="162" t="str">
        <x:v>未完成</x:v>
      </x:c>
      <x:c r="AC26" s="162" t="str">
        <x:v>未完成</x:v>
      </x:c>
      <x:c r="AD26" s="162" t="str">
        <x:v>未完成</x:v>
      </x:c>
      <x:c r="AE26" s="162" t="str">
        <x:v>未完成</x:v>
      </x:c>
      <x:c r="AF26" s="162" t="str">
        <x:v>未完成</x:v>
      </x:c>
      <x:c r="AG26" s="162" t="str">
        <x:v>未完成</x:v>
      </x:c>
      <x:c r="AH26" s="162" t="str">
        <x:v>未完成</x:v>
      </x:c>
      <x:c r="AI26" s="162" t="str">
        <x:v>未完成</x:v>
      </x:c>
      <x:c r="AJ26" s="162" t="str">
        <x:v>未完成</x:v>
      </x:c>
      <x:c r="AK26" s="162" t="str">
        <x:v>未完成</x:v>
      </x:c>
      <x:c r="AL26" s="162" t="str">
        <x:v>未完成</x:v>
      </x:c>
      <x:c r="AM26" s="162" t="str">
        <x:v>未完成</x:v>
      </x:c>
      <x:c r="AN26" s="162" t="str">
        <x:v>未完成</x:v>
      </x:c>
      <x:c r="AO26" s="162" t="str">
        <x:v>未完成</x:v>
      </x:c>
      <x:c r="AP26" s="162" t="str">
        <x:v>未完成</x:v>
      </x:c>
      <x:c r="AQ26" s="162" t="str">
        <x:v>未完成</x:v>
      </x:c>
      <x:c r="AR26" s="162" t="str">
        <x:v>未完成</x:v>
      </x:c>
      <x:c r="AS26" s="162" t="str">
        <x:v>未完成</x:v>
      </x:c>
      <x:c r="AT26" s="162" t="str">
        <x:v>未完成</x:v>
      </x:c>
      <x:c r="AU26" s="162" t="str">
        <x:v>未完成</x:v>
      </x:c>
      <x:c r="AV26" s="162" t="str">
        <x:v>未完成</x:v>
      </x:c>
      <x:c r="AW26" s="162" t="str">
        <x:v>未完成</x:v>
      </x:c>
      <x:c r="AX26" s="162" t="str">
        <x:v>未完成</x:v>
      </x:c>
      <x:c r="AY26" s="162" t="str">
        <x:v>未完成</x:v>
      </x:c>
      <x:c r="AZ26" s="162" t="str">
        <x:v>未完成</x:v>
      </x:c>
      <x:c r="BA26" s="162" t="str">
        <x:v>未完成</x:v>
      </x:c>
      <x:c r="BB26" s="162" t="str">
        <x:v>未完成</x:v>
      </x:c>
      <x:c r="BC26" s="162" t="str">
        <x:v>未完成</x:v>
      </x:c>
      <x:c r="BD26" s="162" t="str">
        <x:v>未完成</x:v>
      </x:c>
      <x:c r="BE26" s="162" t="str">
        <x:v>未完成</x:v>
      </x:c>
      <x:c r="BF26" s="162" t="str">
        <x:v>未完成</x:v>
      </x:c>
      <x:c r="BG26" s="162" t="str">
        <x:v>未完成</x:v>
      </x:c>
      <x:c r="BH26" s="162" t="str">
        <x:v>未完成</x:v>
      </x:c>
      <x:c r="BI26" s="162" t="str">
        <x:v>未完成</x:v>
      </x:c>
      <x:c r="BJ26" s="162" t="str">
        <x:v>未完成</x:v>
      </x:c>
      <x:c r="BK26" s="162" t="str">
        <x:v>未完成</x:v>
      </x:c>
      <x:c r="BL26" s="162" t="str">
        <x:v>未完成</x:v>
      </x:c>
      <x:c r="BM26" s="162" t="str">
        <x:v>未完成</x:v>
      </x:c>
      <x:c r="BN26" s="162" t="str">
        <x:v>未完成</x:v>
      </x:c>
      <x:c r="BO26" s="162" t="str">
        <x:v>未完成</x:v>
      </x:c>
      <x:c r="BP26" s="162" t="str">
        <x:v>未完成</x:v>
      </x:c>
      <x:c r="BQ26" s="162" t="str">
        <x:v>未完成</x:v>
      </x:c>
      <x:c r="BR26" s="162" t="str">
        <x:v>未完成</x:v>
      </x:c>
    </x:row>
    <x:row r="27" ht="27" customHeight="1">
      <x:c r="A27" s="45" t="n">
        <x:v>21</x:v>
      </x:c>
      <x:c r="B27" s="2" t="str">
        <x:v>于东东</x:v>
      </x:c>
      <x:c r="C27" s="2" t="str">
        <x:v>ksstrd02@sunwill.com.cn</x:v>
      </x:c>
      <x:c r="D27" s="2" t="str">
        <x:v>研发工程师</x:v>
      </x:c>
      <x:c r="E27" s="2" t="str">
        <x:v>研发中心</x:v>
      </x:c>
      <x:c r="F27" s="2" t="str">
        <x:v>昆山基地</x:v>
      </x:c>
      <x:c r="G27" s="45" t="str">
        <x:v>启用</x:v>
      </x:c>
      <x:c r="H27" s="160" t="n">
        <x:f>COUNTIFS(J27:BR27,"完成")</x:f>
        <x:v>0</x:v>
      </x:c>
      <x:c r="I27" s="161" t="n">
        <x:f>IF((61-COUNTIFS(J27:BR27,"不适用"))=0,0,H27/(61-COUNTIFS(J27:BR27,"不适用")))</x:f>
        <x:v>0</x:v>
      </x:c>
      <x:c r="J27" s="162" t="str">
        <x:v>未完成</x:v>
      </x:c>
      <x:c r="K27" s="162" t="str">
        <x:v>未完成</x:v>
      </x:c>
      <x:c r="L27" s="162" t="str">
        <x:v>未完成</x:v>
      </x:c>
      <x:c r="M27" s="162" t="str">
        <x:v>未完成</x:v>
      </x:c>
      <x:c r="N27" s="162" t="str">
        <x:v>未完成</x:v>
      </x:c>
      <x:c r="O27" s="162" t="str">
        <x:v>未完成</x:v>
      </x:c>
      <x:c r="P27" s="162" t="str">
        <x:v>未完成</x:v>
      </x:c>
      <x:c r="Q27" s="162" t="str">
        <x:v>未完成</x:v>
      </x:c>
      <x:c r="R27" s="162" t="str">
        <x:v>未完成</x:v>
      </x:c>
      <x:c r="S27" s="162" t="str">
        <x:v>未完成</x:v>
      </x:c>
      <x:c r="T27" s="162" t="str">
        <x:v>未完成</x:v>
      </x:c>
      <x:c r="U27" s="162" t="str">
        <x:v>未完成</x:v>
      </x:c>
      <x:c r="V27" s="162" t="str">
        <x:v>未完成</x:v>
      </x:c>
      <x:c r="W27" s="162" t="str">
        <x:v>未完成</x:v>
      </x:c>
      <x:c r="X27" s="162" t="str">
        <x:v>未完成</x:v>
      </x:c>
      <x:c r="Y27" s="162" t="str">
        <x:v>未完成</x:v>
      </x:c>
      <x:c r="Z27" s="162" t="str">
        <x:v>未完成</x:v>
      </x:c>
      <x:c r="AA27" s="162" t="str">
        <x:v>未完成</x:v>
      </x:c>
      <x:c r="AB27" s="162" t="str">
        <x:v>未完成</x:v>
      </x:c>
      <x:c r="AC27" s="162" t="str">
        <x:v>未完成</x:v>
      </x:c>
      <x:c r="AD27" s="162" t="str">
        <x:v>未完成</x:v>
      </x:c>
      <x:c r="AE27" s="162" t="str">
        <x:v>未完成</x:v>
      </x:c>
      <x:c r="AF27" s="162" t="str">
        <x:v>未完成</x:v>
      </x:c>
      <x:c r="AG27" s="162" t="str">
        <x:v>未完成</x:v>
      </x:c>
      <x:c r="AH27" s="162" t="str">
        <x:v>未完成</x:v>
      </x:c>
      <x:c r="AI27" s="162" t="str">
        <x:v>未完成</x:v>
      </x:c>
      <x:c r="AJ27" s="162" t="str">
        <x:v>未完成</x:v>
      </x:c>
      <x:c r="AK27" s="162" t="str">
        <x:v>未完成</x:v>
      </x:c>
      <x:c r="AL27" s="162" t="str">
        <x:v>未完成</x:v>
      </x:c>
      <x:c r="AM27" s="162" t="str">
        <x:v>未完成</x:v>
      </x:c>
      <x:c r="AN27" s="162" t="str">
        <x:v>未完成</x:v>
      </x:c>
      <x:c r="AO27" s="162" t="str">
        <x:v>未完成</x:v>
      </x:c>
      <x:c r="AP27" s="162" t="str">
        <x:v>未完成</x:v>
      </x:c>
      <x:c r="AQ27" s="162" t="str">
        <x:v>未完成</x:v>
      </x:c>
      <x:c r="AR27" s="162" t="str">
        <x:v>未完成</x:v>
      </x:c>
      <x:c r="AS27" s="162" t="str">
        <x:v>未完成</x:v>
      </x:c>
      <x:c r="AT27" s="162" t="str">
        <x:v>未完成</x:v>
      </x:c>
      <x:c r="AU27" s="162" t="str">
        <x:v>未完成</x:v>
      </x:c>
      <x:c r="AV27" s="162" t="str">
        <x:v>未完成</x:v>
      </x:c>
      <x:c r="AW27" s="162" t="str">
        <x:v>未完成</x:v>
      </x:c>
      <x:c r="AX27" s="162" t="str">
        <x:v>未完成</x:v>
      </x:c>
      <x:c r="AY27" s="162" t="str">
        <x:v>未完成</x:v>
      </x:c>
      <x:c r="AZ27" s="162" t="str">
        <x:v>未完成</x:v>
      </x:c>
      <x:c r="BA27" s="162" t="str">
        <x:v>未完成</x:v>
      </x:c>
      <x:c r="BB27" s="162" t="str">
        <x:v>未完成</x:v>
      </x:c>
      <x:c r="BC27" s="162" t="str">
        <x:v>未完成</x:v>
      </x:c>
      <x:c r="BD27" s="162" t="str">
        <x:v>未完成</x:v>
      </x:c>
      <x:c r="BE27" s="162" t="str">
        <x:v>未完成</x:v>
      </x:c>
      <x:c r="BF27" s="162" t="str">
        <x:v>未完成</x:v>
      </x:c>
      <x:c r="BG27" s="162" t="str">
        <x:v>未完成</x:v>
      </x:c>
      <x:c r="BH27" s="162" t="str">
        <x:v>未完成</x:v>
      </x:c>
      <x:c r="BI27" s="162" t="str">
        <x:v>未完成</x:v>
      </x:c>
      <x:c r="BJ27" s="162" t="str">
        <x:v>未完成</x:v>
      </x:c>
      <x:c r="BK27" s="162" t="str">
        <x:v>未完成</x:v>
      </x:c>
      <x:c r="BL27" s="162" t="str">
        <x:v>未完成</x:v>
      </x:c>
      <x:c r="BM27" s="162" t="str">
        <x:v>未完成</x:v>
      </x:c>
      <x:c r="BN27" s="162" t="str">
        <x:v>未完成</x:v>
      </x:c>
      <x:c r="BO27" s="162" t="str">
        <x:v>未完成</x:v>
      </x:c>
      <x:c r="BP27" s="162" t="str">
        <x:v>未完成</x:v>
      </x:c>
      <x:c r="BQ27" s="162" t="str">
        <x:v>未完成</x:v>
      </x:c>
      <x:c r="BR27" s="162" t="str">
        <x:v>未完成</x:v>
      </x:c>
    </x:row>
    <x:row r="28" ht="27" customHeight="1">
      <x:c r="A28" s="45" t="n">
        <x:v>22</x:v>
      </x:c>
      <x:c r="B28" s="2" t="str">
        <x:v>何辉</x:v>
      </x:c>
      <x:c r="C28" s="2" t="str">
        <x:v>hehui@sunwill.com.cn</x:v>
      </x:c>
      <x:c r="D28" s="2" t="str">
        <x:v>研发工程师</x:v>
      </x:c>
      <x:c r="E28" s="2" t="str">
        <x:v>研发中心</x:v>
      </x:c>
      <x:c r="F28" s="2" t="str">
        <x:v>武汉基地</x:v>
      </x:c>
      <x:c r="G28" s="45" t="str">
        <x:v>启用</x:v>
      </x:c>
      <x:c r="H28" s="160" t="n">
        <x:f>COUNTIFS(J28:BR28,"完成")</x:f>
        <x:v>0</x:v>
      </x:c>
      <x:c r="I28" s="161" t="n">
        <x:f>IF((61-COUNTIFS(J28:BR28,"不适用"))=0,0,H28/(61-COUNTIFS(J28:BR28,"不适用")))</x:f>
        <x:v>0</x:v>
      </x:c>
      <x:c r="J28" s="162" t="str">
        <x:v>未完成</x:v>
      </x:c>
      <x:c r="K28" s="162" t="str">
        <x:v>未完成</x:v>
      </x:c>
      <x:c r="L28" s="162" t="str">
        <x:v>未完成</x:v>
      </x:c>
      <x:c r="M28" s="162" t="str">
        <x:v>未完成</x:v>
      </x:c>
      <x:c r="N28" s="162" t="str">
        <x:v>未完成</x:v>
      </x:c>
      <x:c r="O28" s="162" t="str">
        <x:v>未完成</x:v>
      </x:c>
      <x:c r="P28" s="162" t="str">
        <x:v>未完成</x:v>
      </x:c>
      <x:c r="Q28" s="162" t="str">
        <x:v>未完成</x:v>
      </x:c>
      <x:c r="R28" s="162" t="str">
        <x:v>未完成</x:v>
      </x:c>
      <x:c r="S28" s="162" t="str">
        <x:v>未完成</x:v>
      </x:c>
      <x:c r="T28" s="162" t="str">
        <x:v>未完成</x:v>
      </x:c>
      <x:c r="U28" s="162" t="str">
        <x:v>未完成</x:v>
      </x:c>
      <x:c r="V28" s="162" t="str">
        <x:v>未完成</x:v>
      </x:c>
      <x:c r="W28" s="162" t="str">
        <x:v>未完成</x:v>
      </x:c>
      <x:c r="X28" s="162" t="str">
        <x:v>未完成</x:v>
      </x:c>
      <x:c r="Y28" s="162" t="str">
        <x:v>未完成</x:v>
      </x:c>
      <x:c r="Z28" s="162" t="str">
        <x:v>未完成</x:v>
      </x:c>
      <x:c r="AA28" s="162" t="str">
        <x:v>未完成</x:v>
      </x:c>
      <x:c r="AB28" s="162" t="str">
        <x:v>未完成</x:v>
      </x:c>
      <x:c r="AC28" s="162" t="str">
        <x:v>未完成</x:v>
      </x:c>
      <x:c r="AD28" s="162" t="str">
        <x:v>未完成</x:v>
      </x:c>
      <x:c r="AE28" s="162" t="str">
        <x:v>未完成</x:v>
      </x:c>
      <x:c r="AF28" s="162" t="str">
        <x:v>未完成</x:v>
      </x:c>
      <x:c r="AG28" s="162" t="str">
        <x:v>未完成</x:v>
      </x:c>
      <x:c r="AH28" s="162" t="str">
        <x:v>未完成</x:v>
      </x:c>
      <x:c r="AI28" s="162" t="str">
        <x:v>未完成</x:v>
      </x:c>
      <x:c r="AJ28" s="162" t="str">
        <x:v>未完成</x:v>
      </x:c>
      <x:c r="AK28" s="162" t="str">
        <x:v>未完成</x:v>
      </x:c>
      <x:c r="AL28" s="162" t="str">
        <x:v>未完成</x:v>
      </x:c>
      <x:c r="AM28" s="162" t="str">
        <x:v>未完成</x:v>
      </x:c>
      <x:c r="AN28" s="162" t="str">
        <x:v>未完成</x:v>
      </x:c>
      <x:c r="AO28" s="162" t="str">
        <x:v>未完成</x:v>
      </x:c>
      <x:c r="AP28" s="162" t="str">
        <x:v>未完成</x:v>
      </x:c>
      <x:c r="AQ28" s="162" t="str">
        <x:v>未完成</x:v>
      </x:c>
      <x:c r="AR28" s="162" t="str">
        <x:v>未完成</x:v>
      </x:c>
      <x:c r="AS28" s="162" t="str">
        <x:v>未完成</x:v>
      </x:c>
      <x:c r="AT28" s="162" t="str">
        <x:v>未完成</x:v>
      </x:c>
      <x:c r="AU28" s="162" t="str">
        <x:v>未完成</x:v>
      </x:c>
      <x:c r="AV28" s="162" t="str">
        <x:v>未完成</x:v>
      </x:c>
      <x:c r="AW28" s="162" t="str">
        <x:v>未完成</x:v>
      </x:c>
      <x:c r="AX28" s="162" t="str">
        <x:v>未完成</x:v>
      </x:c>
      <x:c r="AY28" s="162" t="str">
        <x:v>未完成</x:v>
      </x:c>
      <x:c r="AZ28" s="162" t="str">
        <x:v>未完成</x:v>
      </x:c>
      <x:c r="BA28" s="162" t="str">
        <x:v>未完成</x:v>
      </x:c>
      <x:c r="BB28" s="162" t="str">
        <x:v>未完成</x:v>
      </x:c>
      <x:c r="BC28" s="162" t="str">
        <x:v>未完成</x:v>
      </x:c>
      <x:c r="BD28" s="162" t="str">
        <x:v>未完成</x:v>
      </x:c>
      <x:c r="BE28" s="162" t="str">
        <x:v>未完成</x:v>
      </x:c>
      <x:c r="BF28" s="162" t="str">
        <x:v>未完成</x:v>
      </x:c>
      <x:c r="BG28" s="162" t="str">
        <x:v>未完成</x:v>
      </x:c>
      <x:c r="BH28" s="162" t="str">
        <x:v>未完成</x:v>
      </x:c>
      <x:c r="BI28" s="162" t="str">
        <x:v>未完成</x:v>
      </x:c>
      <x:c r="BJ28" s="162" t="str">
        <x:v>未完成</x:v>
      </x:c>
      <x:c r="BK28" s="162" t="str">
        <x:v>未完成</x:v>
      </x:c>
      <x:c r="BL28" s="162" t="str">
        <x:v>未完成</x:v>
      </x:c>
      <x:c r="BM28" s="162" t="str">
        <x:v>未完成</x:v>
      </x:c>
      <x:c r="BN28" s="162" t="str">
        <x:v>未完成</x:v>
      </x:c>
      <x:c r="BO28" s="162" t="str">
        <x:v>未完成</x:v>
      </x:c>
      <x:c r="BP28" s="162" t="str">
        <x:v>未完成</x:v>
      </x:c>
      <x:c r="BQ28" s="162" t="str">
        <x:v>未完成</x:v>
      </x:c>
      <x:c r="BR28" s="162" t="str">
        <x:v>未完成</x:v>
      </x:c>
    </x:row>
    <x:row r="29" ht="27" customHeight="1">
      <x:c r="A29" s="45" t="n">
        <x:v>23</x:v>
      </x:c>
      <x:c r="B29" s="2" t="str">
        <x:v>王江洪</x:v>
      </x:c>
      <x:c r="C29" s="2" t="str">
        <x:v>wangjh@sunwill.com.cn</x:v>
      </x:c>
      <x:c r="D29" s="2" t="str">
        <x:v>研发工程师</x:v>
      </x:c>
      <x:c r="E29" s="2" t="str">
        <x:v>研发中心</x:v>
      </x:c>
      <x:c r="F29" s="2" t="str">
        <x:v>昆山基地</x:v>
      </x:c>
      <x:c r="G29" s="45" t="str">
        <x:v>启用</x:v>
      </x:c>
      <x:c r="H29" s="160" t="n">
        <x:f>COUNTIFS(J29:BR29,"完成")</x:f>
        <x:v>0</x:v>
      </x:c>
      <x:c r="I29" s="161" t="n">
        <x:f>IF((61-COUNTIFS(J29:BR29,"不适用"))=0,0,H29/(61-COUNTIFS(J29:BR29,"不适用")))</x:f>
        <x:v>0</x:v>
      </x:c>
      <x:c r="J29" s="162" t="str">
        <x:v>未完成</x:v>
      </x:c>
      <x:c r="K29" s="162" t="str">
        <x:v>未完成</x:v>
      </x:c>
      <x:c r="L29" s="162" t="str">
        <x:v>未完成</x:v>
      </x:c>
      <x:c r="M29" s="162" t="str">
        <x:v>未完成</x:v>
      </x:c>
      <x:c r="N29" s="162" t="str">
        <x:v>未完成</x:v>
      </x:c>
      <x:c r="O29" s="162" t="str">
        <x:v>未完成</x:v>
      </x:c>
      <x:c r="P29" s="162" t="str">
        <x:v>未完成</x:v>
      </x:c>
      <x:c r="Q29" s="162" t="str">
        <x:v>未完成</x:v>
      </x:c>
      <x:c r="R29" s="162" t="str">
        <x:v>未完成</x:v>
      </x:c>
      <x:c r="S29" s="162" t="str">
        <x:v>未完成</x:v>
      </x:c>
      <x:c r="T29" s="162" t="str">
        <x:v>未完成</x:v>
      </x:c>
      <x:c r="U29" s="162" t="str">
        <x:v>未完成</x:v>
      </x:c>
      <x:c r="V29" s="162" t="str">
        <x:v>未完成</x:v>
      </x:c>
      <x:c r="W29" s="162" t="str">
        <x:v>未完成</x:v>
      </x:c>
      <x:c r="X29" s="162" t="str">
        <x:v>未完成</x:v>
      </x:c>
      <x:c r="Y29" s="162" t="str">
        <x:v>未完成</x:v>
      </x:c>
      <x:c r="Z29" s="162" t="str">
        <x:v>未完成</x:v>
      </x:c>
      <x:c r="AA29" s="162" t="str">
        <x:v>未完成</x:v>
      </x:c>
      <x:c r="AB29" s="162" t="str">
        <x:v>未完成</x:v>
      </x:c>
      <x:c r="AC29" s="162" t="str">
        <x:v>未完成</x:v>
      </x:c>
      <x:c r="AD29" s="162" t="str">
        <x:v>未完成</x:v>
      </x:c>
      <x:c r="AE29" s="162" t="str">
        <x:v>未完成</x:v>
      </x:c>
      <x:c r="AF29" s="162" t="str">
        <x:v>未完成</x:v>
      </x:c>
      <x:c r="AG29" s="162" t="str">
        <x:v>未完成</x:v>
      </x:c>
      <x:c r="AH29" s="162" t="str">
        <x:v>未完成</x:v>
      </x:c>
      <x:c r="AI29" s="162" t="str">
        <x:v>未完成</x:v>
      </x:c>
      <x:c r="AJ29" s="162" t="str">
        <x:v>未完成</x:v>
      </x:c>
      <x:c r="AK29" s="162" t="str">
        <x:v>未完成</x:v>
      </x:c>
      <x:c r="AL29" s="162" t="str">
        <x:v>未完成</x:v>
      </x:c>
      <x:c r="AM29" s="162" t="str">
        <x:v>未完成</x:v>
      </x:c>
      <x:c r="AN29" s="162" t="str">
        <x:v>未完成</x:v>
      </x:c>
      <x:c r="AO29" s="162" t="str">
        <x:v>未完成</x:v>
      </x:c>
      <x:c r="AP29" s="162" t="str">
        <x:v>未完成</x:v>
      </x:c>
      <x:c r="AQ29" s="162" t="str">
        <x:v>未完成</x:v>
      </x:c>
      <x:c r="AR29" s="162" t="str">
        <x:v>未完成</x:v>
      </x:c>
      <x:c r="AS29" s="162" t="str">
        <x:v>未完成</x:v>
      </x:c>
      <x:c r="AT29" s="162" t="str">
        <x:v>未完成</x:v>
      </x:c>
      <x:c r="AU29" s="162" t="str">
        <x:v>未完成</x:v>
      </x:c>
      <x:c r="AV29" s="162" t="str">
        <x:v>未完成</x:v>
      </x:c>
      <x:c r="AW29" s="162" t="str">
        <x:v>未完成</x:v>
      </x:c>
      <x:c r="AX29" s="162" t="str">
        <x:v>未完成</x:v>
      </x:c>
      <x:c r="AY29" s="162" t="str">
        <x:v>未完成</x:v>
      </x:c>
      <x:c r="AZ29" s="162" t="str">
        <x:v>未完成</x:v>
      </x:c>
      <x:c r="BA29" s="162" t="str">
        <x:v>未完成</x:v>
      </x:c>
      <x:c r="BB29" s="162" t="str">
        <x:v>未完成</x:v>
      </x:c>
      <x:c r="BC29" s="162" t="str">
        <x:v>未完成</x:v>
      </x:c>
      <x:c r="BD29" s="162" t="str">
        <x:v>未完成</x:v>
      </x:c>
      <x:c r="BE29" s="162" t="str">
        <x:v>未完成</x:v>
      </x:c>
      <x:c r="BF29" s="162" t="str">
        <x:v>未完成</x:v>
      </x:c>
      <x:c r="BG29" s="162" t="str">
        <x:v>未完成</x:v>
      </x:c>
      <x:c r="BH29" s="162" t="str">
        <x:v>未完成</x:v>
      </x:c>
      <x:c r="BI29" s="162" t="str">
        <x:v>未完成</x:v>
      </x:c>
      <x:c r="BJ29" s="162" t="str">
        <x:v>未完成</x:v>
      </x:c>
      <x:c r="BK29" s="162" t="str">
        <x:v>未完成</x:v>
      </x:c>
      <x:c r="BL29" s="162" t="str">
        <x:v>未完成</x:v>
      </x:c>
      <x:c r="BM29" s="162" t="str">
        <x:v>未完成</x:v>
      </x:c>
      <x:c r="BN29" s="162" t="str">
        <x:v>未完成</x:v>
      </x:c>
      <x:c r="BO29" s="162" t="str">
        <x:v>未完成</x:v>
      </x:c>
      <x:c r="BP29" s="162" t="str">
        <x:v>未完成</x:v>
      </x:c>
      <x:c r="BQ29" s="162" t="str">
        <x:v>未完成</x:v>
      </x:c>
      <x:c r="BR29" s="162" t="str">
        <x:v>未完成</x:v>
      </x:c>
    </x:row>
    <x:row r="30" ht="27" customHeight="1">
      <x:c r="A30" s="45" t="n">
        <x:v>24</x:v>
      </x:c>
      <x:c r="B30" s="2" t="str">
        <x:v>宗荣锋</x:v>
      </x:c>
      <x:c r="C30" s="2" t="str">
        <x:v>rongfeng.zong@sunwill.com.cn</x:v>
      </x:c>
      <x:c r="D30" s="2" t="str">
        <x:v>研发工程师</x:v>
      </x:c>
      <x:c r="E30" s="2" t="str">
        <x:v>研发中心</x:v>
      </x:c>
      <x:c r="F30" s="2" t="str">
        <x:v>武汉基地</x:v>
      </x:c>
      <x:c r="G30" s="45" t="str">
        <x:v>启用</x:v>
      </x:c>
      <x:c r="H30" s="160" t="n">
        <x:f>COUNTIFS(J30:BR30,"完成")</x:f>
        <x:v>0</x:v>
      </x:c>
      <x:c r="I30" s="161" t="n">
        <x:f>IF((61-COUNTIFS(J30:BR30,"不适用"))=0,0,H30/(61-COUNTIFS(J30:BR30,"不适用")))</x:f>
        <x:v>0</x:v>
      </x:c>
      <x:c r="J30" s="162" t="str">
        <x:v>未完成</x:v>
      </x:c>
      <x:c r="K30" s="162" t="str">
        <x:v>未完成</x:v>
      </x:c>
      <x:c r="L30" s="162" t="str">
        <x:v>未完成</x:v>
      </x:c>
      <x:c r="M30" s="162" t="str">
        <x:v>未完成</x:v>
      </x:c>
      <x:c r="N30" s="162" t="str">
        <x:v>未完成</x:v>
      </x:c>
      <x:c r="O30" s="162" t="str">
        <x:v>未完成</x:v>
      </x:c>
      <x:c r="P30" s="162" t="str">
        <x:v>未完成</x:v>
      </x:c>
      <x:c r="Q30" s="162" t="str">
        <x:v>未完成</x:v>
      </x:c>
      <x:c r="R30" s="162" t="str">
        <x:v>未完成</x:v>
      </x:c>
      <x:c r="S30" s="162" t="str">
        <x:v>未完成</x:v>
      </x:c>
      <x:c r="T30" s="162" t="str">
        <x:v>未完成</x:v>
      </x:c>
      <x:c r="U30" s="162" t="str">
        <x:v>未完成</x:v>
      </x:c>
      <x:c r="V30" s="162" t="str">
        <x:v>未完成</x:v>
      </x:c>
      <x:c r="W30" s="162" t="str">
        <x:v>未完成</x:v>
      </x:c>
      <x:c r="X30" s="162" t="str">
        <x:v>未完成</x:v>
      </x:c>
      <x:c r="Y30" s="162" t="str">
        <x:v>未完成</x:v>
      </x:c>
      <x:c r="Z30" s="162" t="str">
        <x:v>未完成</x:v>
      </x:c>
      <x:c r="AA30" s="162" t="str">
        <x:v>未完成</x:v>
      </x:c>
      <x:c r="AB30" s="162" t="str">
        <x:v>未完成</x:v>
      </x:c>
      <x:c r="AC30" s="162" t="str">
        <x:v>未完成</x:v>
      </x:c>
      <x:c r="AD30" s="162" t="str">
        <x:v>未完成</x:v>
      </x:c>
      <x:c r="AE30" s="162" t="str">
        <x:v>未完成</x:v>
      </x:c>
      <x:c r="AF30" s="162" t="str">
        <x:v>未完成</x:v>
      </x:c>
      <x:c r="AG30" s="162" t="str">
        <x:v>未完成</x:v>
      </x:c>
      <x:c r="AH30" s="162" t="str">
        <x:v>未完成</x:v>
      </x:c>
      <x:c r="AI30" s="162" t="str">
        <x:v>未完成</x:v>
      </x:c>
      <x:c r="AJ30" s="162" t="str">
        <x:v>未完成</x:v>
      </x:c>
      <x:c r="AK30" s="162" t="str">
        <x:v>未完成</x:v>
      </x:c>
      <x:c r="AL30" s="162" t="str">
        <x:v>未完成</x:v>
      </x:c>
      <x:c r="AM30" s="162" t="str">
        <x:v>未完成</x:v>
      </x:c>
      <x:c r="AN30" s="162" t="str">
        <x:v>未完成</x:v>
      </x:c>
      <x:c r="AO30" s="162" t="str">
        <x:v>未完成</x:v>
      </x:c>
      <x:c r="AP30" s="162" t="str">
        <x:v>未完成</x:v>
      </x:c>
      <x:c r="AQ30" s="162" t="str">
        <x:v>未完成</x:v>
      </x:c>
      <x:c r="AR30" s="162" t="str">
        <x:v>未完成</x:v>
      </x:c>
      <x:c r="AS30" s="162" t="str">
        <x:v>未完成</x:v>
      </x:c>
      <x:c r="AT30" s="162" t="str">
        <x:v>未完成</x:v>
      </x:c>
      <x:c r="AU30" s="162" t="str">
        <x:v>未完成</x:v>
      </x:c>
      <x:c r="AV30" s="162" t="str">
        <x:v>未完成</x:v>
      </x:c>
      <x:c r="AW30" s="162" t="str">
        <x:v>未完成</x:v>
      </x:c>
      <x:c r="AX30" s="162" t="str">
        <x:v>未完成</x:v>
      </x:c>
      <x:c r="AY30" s="162" t="str">
        <x:v>未完成</x:v>
      </x:c>
      <x:c r="AZ30" s="162" t="str">
        <x:v>未完成</x:v>
      </x:c>
      <x:c r="BA30" s="162" t="str">
        <x:v>未完成</x:v>
      </x:c>
      <x:c r="BB30" s="162" t="str">
        <x:v>未完成</x:v>
      </x:c>
      <x:c r="BC30" s="162" t="str">
        <x:v>未完成</x:v>
      </x:c>
      <x:c r="BD30" s="162" t="str">
        <x:v>未完成</x:v>
      </x:c>
      <x:c r="BE30" s="162" t="str">
        <x:v>未完成</x:v>
      </x:c>
      <x:c r="BF30" s="162" t="str">
        <x:v>未完成</x:v>
      </x:c>
      <x:c r="BG30" s="162" t="str">
        <x:v>未完成</x:v>
      </x:c>
      <x:c r="BH30" s="162" t="str">
        <x:v>未完成</x:v>
      </x:c>
      <x:c r="BI30" s="162" t="str">
        <x:v>未完成</x:v>
      </x:c>
      <x:c r="BJ30" s="162" t="str">
        <x:v>未完成</x:v>
      </x:c>
      <x:c r="BK30" s="162" t="str">
        <x:v>未完成</x:v>
      </x:c>
      <x:c r="BL30" s="162" t="str">
        <x:v>未完成</x:v>
      </x:c>
      <x:c r="BM30" s="162" t="str">
        <x:v>未完成</x:v>
      </x:c>
      <x:c r="BN30" s="162" t="str">
        <x:v>未完成</x:v>
      </x:c>
      <x:c r="BO30" s="162" t="str">
        <x:v>未完成</x:v>
      </x:c>
      <x:c r="BP30" s="162" t="str">
        <x:v>未完成</x:v>
      </x:c>
      <x:c r="BQ30" s="162" t="str">
        <x:v>未完成</x:v>
      </x:c>
      <x:c r="BR30" s="162" t="str">
        <x:v>未完成</x:v>
      </x:c>
    </x:row>
    <x:row r="31" ht="27" customHeight="1">
      <x:c r="A31" s="45" t="n">
        <x:v>25</x:v>
      </x:c>
      <x:c r="B31" s="2" t="str">
        <x:v>文昊</x:v>
      </x:c>
      <x:c r="C31" s="2" t="str">
        <x:v>wenhao@sunwill.com.cn</x:v>
      </x:c>
      <x:c r="D31" s="2" t="str">
        <x:v>研发经理</x:v>
      </x:c>
      <x:c r="E31" s="2" t="str">
        <x:v>研发中心</x:v>
      </x:c>
      <x:c r="F31" s="2" t="str">
        <x:v>广东基地</x:v>
      </x:c>
      <x:c r="G31" s="45" t="str">
        <x:v>启用</x:v>
      </x:c>
      <x:c r="H31" s="160" t="n">
        <x:f>COUNTIFS(J31:BR31,"完成")</x:f>
        <x:v>0</x:v>
      </x:c>
      <x:c r="I31" s="161" t="n">
        <x:f>IF((61-COUNTIFS(J31:BR31,"不适用"))=0,0,H31/(61-COUNTIFS(J31:BR31,"不适用")))</x:f>
        <x:v>0</x:v>
      </x:c>
      <x:c r="J31" s="162" t="str">
        <x:v>未完成</x:v>
      </x:c>
      <x:c r="K31" s="162" t="str">
        <x:v>未完成</x:v>
      </x:c>
      <x:c r="L31" s="162" t="str">
        <x:v>未完成</x:v>
      </x:c>
      <x:c r="M31" s="162" t="str">
        <x:v>未完成</x:v>
      </x:c>
      <x:c r="N31" s="162" t="str">
        <x:v>未完成</x:v>
      </x:c>
      <x:c r="O31" s="162" t="str">
        <x:v>未完成</x:v>
      </x:c>
      <x:c r="P31" s="162" t="str">
        <x:v>未完成</x:v>
      </x:c>
      <x:c r="Q31" s="162" t="str">
        <x:v>未完成</x:v>
      </x:c>
      <x:c r="R31" s="162" t="str">
        <x:v>未完成</x:v>
      </x:c>
      <x:c r="S31" s="162" t="str">
        <x:v>未完成</x:v>
      </x:c>
      <x:c r="T31" s="162" t="str">
        <x:v>未完成</x:v>
      </x:c>
      <x:c r="U31" s="162" t="str">
        <x:v>未完成</x:v>
      </x:c>
      <x:c r="V31" s="162" t="str">
        <x:v>未完成</x:v>
      </x:c>
      <x:c r="W31" s="162" t="str">
        <x:v>未完成</x:v>
      </x:c>
      <x:c r="X31" s="162" t="str">
        <x:v>未完成</x:v>
      </x:c>
      <x:c r="Y31" s="162" t="str">
        <x:v>未完成</x:v>
      </x:c>
      <x:c r="Z31" s="162" t="str">
        <x:v>未完成</x:v>
      </x:c>
      <x:c r="AA31" s="162" t="str">
        <x:v>未完成</x:v>
      </x:c>
      <x:c r="AB31" s="162" t="str">
        <x:v>未完成</x:v>
      </x:c>
      <x:c r="AC31" s="162" t="str">
        <x:v>未完成</x:v>
      </x:c>
      <x:c r="AD31" s="162" t="str">
        <x:v>未完成</x:v>
      </x:c>
      <x:c r="AE31" s="162" t="str">
        <x:v>未完成</x:v>
      </x:c>
      <x:c r="AF31" s="162" t="str">
        <x:v>未完成</x:v>
      </x:c>
      <x:c r="AG31" s="162" t="str">
        <x:v>未完成</x:v>
      </x:c>
      <x:c r="AH31" s="162" t="str">
        <x:v>未完成</x:v>
      </x:c>
      <x:c r="AI31" s="162" t="str">
        <x:v>未完成</x:v>
      </x:c>
      <x:c r="AJ31" s="162" t="str">
        <x:v>未完成</x:v>
      </x:c>
      <x:c r="AK31" s="162" t="str">
        <x:v>未完成</x:v>
      </x:c>
      <x:c r="AL31" s="162" t="str">
        <x:v>未完成</x:v>
      </x:c>
      <x:c r="AM31" s="162" t="str">
        <x:v>未完成</x:v>
      </x:c>
      <x:c r="AN31" s="162" t="str">
        <x:v>未完成</x:v>
      </x:c>
      <x:c r="AO31" s="162" t="str">
        <x:v>未完成</x:v>
      </x:c>
      <x:c r="AP31" s="162" t="str">
        <x:v>未完成</x:v>
      </x:c>
      <x:c r="AQ31" s="162" t="str">
        <x:v>未完成</x:v>
      </x:c>
      <x:c r="AR31" s="162" t="str">
        <x:v>未完成</x:v>
      </x:c>
      <x:c r="AS31" s="162" t="str">
        <x:v>未完成</x:v>
      </x:c>
      <x:c r="AT31" s="162" t="str">
        <x:v>未完成</x:v>
      </x:c>
      <x:c r="AU31" s="162" t="str">
        <x:v>未完成</x:v>
      </x:c>
      <x:c r="AV31" s="162" t="str">
        <x:v>未完成</x:v>
      </x:c>
      <x:c r="AW31" s="162" t="str">
        <x:v>未完成</x:v>
      </x:c>
      <x:c r="AX31" s="162" t="str">
        <x:v>未完成</x:v>
      </x:c>
      <x:c r="AY31" s="162" t="str">
        <x:v>未完成</x:v>
      </x:c>
      <x:c r="AZ31" s="162" t="str">
        <x:v>未完成</x:v>
      </x:c>
      <x:c r="BA31" s="162" t="str">
        <x:v>未完成</x:v>
      </x:c>
      <x:c r="BB31" s="162" t="str">
        <x:v>未完成</x:v>
      </x:c>
      <x:c r="BC31" s="162" t="str">
        <x:v>未完成</x:v>
      </x:c>
      <x:c r="BD31" s="162" t="str">
        <x:v>未完成</x:v>
      </x:c>
      <x:c r="BE31" s="162" t="str">
        <x:v>未完成</x:v>
      </x:c>
      <x:c r="BF31" s="162" t="str">
        <x:v>未完成</x:v>
      </x:c>
      <x:c r="BG31" s="162" t="str">
        <x:v>未完成</x:v>
      </x:c>
      <x:c r="BH31" s="162" t="str">
        <x:v>未完成</x:v>
      </x:c>
      <x:c r="BI31" s="162" t="str">
        <x:v>未完成</x:v>
      </x:c>
      <x:c r="BJ31" s="162" t="str">
        <x:v>未完成</x:v>
      </x:c>
      <x:c r="BK31" s="162" t="str">
        <x:v>未完成</x:v>
      </x:c>
      <x:c r="BL31" s="162" t="str">
        <x:v>未完成</x:v>
      </x:c>
      <x:c r="BM31" s="162" t="str">
        <x:v>未完成</x:v>
      </x:c>
      <x:c r="BN31" s="162" t="str">
        <x:v>未完成</x:v>
      </x:c>
      <x:c r="BO31" s="162" t="str">
        <x:v>未完成</x:v>
      </x:c>
      <x:c r="BP31" s="162" t="str">
        <x:v>未完成</x:v>
      </x:c>
      <x:c r="BQ31" s="162" t="str">
        <x:v>未完成</x:v>
      </x:c>
      <x:c r="BR31" s="162" t="str">
        <x:v>未完成</x:v>
      </x:c>
    </x:row>
    <x:row r="32" ht="27" customHeight="1">
      <x:c r="A32" s="45" t="n">
        <x:v>26</x:v>
      </x:c>
      <x:c r="B32" s="2" t="str">
        <x:v>陆明</x:v>
      </x:c>
      <x:c r="C32" s="2" t="str">
        <x:v>ming.lu@sunwill.com.cn</x:v>
      </x:c>
      <x:c r="D32" s="2" t="str">
        <x:v>配色工程师</x:v>
      </x:c>
      <x:c r="E32" s="2" t="str">
        <x:v>配色中心</x:v>
      </x:c>
      <x:c r="F32" s="2" t="str">
        <x:v>广东基地</x:v>
      </x:c>
      <x:c r="G32" s="45" t="str">
        <x:v>启用</x:v>
      </x:c>
      <x:c r="H32" s="160" t="n">
        <x:f>COUNTIFS(J32:BR32,"完成")</x:f>
        <x:v>0</x:v>
      </x:c>
      <x:c r="I32" s="161" t="n">
        <x:f>IF((61-COUNTIFS(J32:BR32,"不适用"))=0,0,H32/(61-COUNTIFS(J32:BR32,"不适用")))</x:f>
        <x:v>0</x:v>
      </x:c>
      <x:c r="J32" s="162" t="str">
        <x:v>未完成</x:v>
      </x:c>
      <x:c r="K32" s="162" t="str">
        <x:v>未完成</x:v>
      </x:c>
      <x:c r="L32" s="162" t="str">
        <x:v>未完成</x:v>
      </x:c>
      <x:c r="M32" s="162" t="str">
        <x:v>未完成</x:v>
      </x:c>
      <x:c r="N32" s="162" t="str">
        <x:v>未完成</x:v>
      </x:c>
      <x:c r="O32" s="162" t="str">
        <x:v>未完成</x:v>
      </x:c>
      <x:c r="P32" s="162" t="str">
        <x:v>未完成</x:v>
      </x:c>
      <x:c r="Q32" s="162" t="str">
        <x:v>未完成</x:v>
      </x:c>
      <x:c r="R32" s="162" t="str">
        <x:v>未完成</x:v>
      </x:c>
      <x:c r="S32" s="162" t="str">
        <x:v>未完成</x:v>
      </x:c>
      <x:c r="T32" s="162" t="str">
        <x:v>未完成</x:v>
      </x:c>
      <x:c r="U32" s="162" t="str">
        <x:v>未完成</x:v>
      </x:c>
      <x:c r="V32" s="162" t="str">
        <x:v>未完成</x:v>
      </x:c>
      <x:c r="W32" s="162" t="str">
        <x:v>未完成</x:v>
      </x:c>
      <x:c r="X32" s="162" t="str">
        <x:v>未完成</x:v>
      </x:c>
      <x:c r="Y32" s="162" t="str">
        <x:v>未完成</x:v>
      </x:c>
      <x:c r="Z32" s="162" t="str">
        <x:v>未完成</x:v>
      </x:c>
      <x:c r="AA32" s="162" t="str">
        <x:v>未完成</x:v>
      </x:c>
      <x:c r="AB32" s="162" t="str">
        <x:v>未完成</x:v>
      </x:c>
      <x:c r="AC32" s="162" t="str">
        <x:v>未完成</x:v>
      </x:c>
      <x:c r="AD32" s="162" t="str">
        <x:v>未完成</x:v>
      </x:c>
      <x:c r="AE32" s="162" t="str">
        <x:v>未完成</x:v>
      </x:c>
      <x:c r="AF32" s="162" t="str">
        <x:v>未完成</x:v>
      </x:c>
      <x:c r="AG32" s="162" t="str">
        <x:v>未完成</x:v>
      </x:c>
      <x:c r="AH32" s="162" t="str">
        <x:v>未完成</x:v>
      </x:c>
      <x:c r="AI32" s="162" t="str">
        <x:v>未完成</x:v>
      </x:c>
      <x:c r="AJ32" s="162" t="str">
        <x:v>未完成</x:v>
      </x:c>
      <x:c r="AK32" s="162" t="str">
        <x:v>未完成</x:v>
      </x:c>
      <x:c r="AL32" s="162" t="str">
        <x:v>未完成</x:v>
      </x:c>
      <x:c r="AM32" s="162" t="str">
        <x:v>未完成</x:v>
      </x:c>
      <x:c r="AN32" s="162" t="str">
        <x:v>未完成</x:v>
      </x:c>
      <x:c r="AO32" s="162" t="str">
        <x:v>未完成</x:v>
      </x:c>
      <x:c r="AP32" s="162" t="str">
        <x:v>未完成</x:v>
      </x:c>
      <x:c r="AQ32" s="162" t="str">
        <x:v>未完成</x:v>
      </x:c>
      <x:c r="AR32" s="162" t="str">
        <x:v>未完成</x:v>
      </x:c>
      <x:c r="AS32" s="162" t="str">
        <x:v>未完成</x:v>
      </x:c>
      <x:c r="AT32" s="162" t="str">
        <x:v>未完成</x:v>
      </x:c>
      <x:c r="AU32" s="162" t="str">
        <x:v>未完成</x:v>
      </x:c>
      <x:c r="AV32" s="162" t="str">
        <x:v>未完成</x:v>
      </x:c>
      <x:c r="AW32" s="162" t="str">
        <x:v>未完成</x:v>
      </x:c>
      <x:c r="AX32" s="162" t="str">
        <x:v>未完成</x:v>
      </x:c>
      <x:c r="AY32" s="162" t="str">
        <x:v>未完成</x:v>
      </x:c>
      <x:c r="AZ32" s="162" t="str">
        <x:v>未完成</x:v>
      </x:c>
      <x:c r="BA32" s="162" t="str">
        <x:v>未完成</x:v>
      </x:c>
      <x:c r="BB32" s="162" t="str">
        <x:v>未完成</x:v>
      </x:c>
      <x:c r="BC32" s="162" t="str">
        <x:v>未完成</x:v>
      </x:c>
      <x:c r="BD32" s="162" t="str">
        <x:v>未完成</x:v>
      </x:c>
      <x:c r="BE32" s="162" t="str">
        <x:v>未完成</x:v>
      </x:c>
      <x:c r="BF32" s="162" t="str">
        <x:v>未完成</x:v>
      </x:c>
      <x:c r="BG32" s="162" t="str">
        <x:v>未完成</x:v>
      </x:c>
      <x:c r="BH32" s="162" t="str">
        <x:v>未完成</x:v>
      </x:c>
      <x:c r="BI32" s="162" t="str">
        <x:v>未完成</x:v>
      </x:c>
      <x:c r="BJ32" s="162" t="str">
        <x:v>未完成</x:v>
      </x:c>
      <x:c r="BK32" s="162" t="str">
        <x:v>未完成</x:v>
      </x:c>
      <x:c r="BL32" s="162" t="str">
        <x:v>未完成</x:v>
      </x:c>
      <x:c r="BM32" s="162" t="str">
        <x:v>未完成</x:v>
      </x:c>
      <x:c r="BN32" s="162" t="str">
        <x:v>未完成</x:v>
      </x:c>
      <x:c r="BO32" s="162" t="str">
        <x:v>未完成</x:v>
      </x:c>
      <x:c r="BP32" s="162" t="str">
        <x:v>未完成</x:v>
      </x:c>
      <x:c r="BQ32" s="162" t="str">
        <x:v>未完成</x:v>
      </x:c>
      <x:c r="BR32" s="162" t="str">
        <x:v>未完成</x:v>
      </x:c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</x:row>
  </x:sheetData>
  <x:mergeCells>
    <x:mergeCell ref="A2:BR2"/>
    <x:mergeCell ref="A3:BR3"/>
    <x:mergeCell ref="A5:I5"/>
    <x:mergeCell ref="J5:T5"/>
    <x:mergeCell ref="W5:AC5"/>
    <x:mergeCell ref="AD5:AG5"/>
    <x:mergeCell ref="AH5:AL5"/>
    <x:mergeCell ref="AM5:AW5"/>
    <x:mergeCell ref="AX5:BC5"/>
    <x:mergeCell ref="BD5:BH5"/>
    <x:mergeCell ref="BI5:BN5"/>
    <x:mergeCell ref="BO5:BR5"/>
  </x:mergeCells>
  <x:conditionalFormatting sqref="I7:I32">
    <x:cfRule type="dataBar" priority="4">
      <x:dataBar>
        <x:cfvo type="min"/>
        <x:cfvo type="max"/>
        <x:color rgb="FF2F7D4A"/>
      </x:dataBar>
      <x:extLst>
        <x:ext xmlns:x14="http://schemas.microsoft.com/office/spreadsheetml/2009/9/main" uri="{B025F937-C7B1-47D3-B67F-A62EFF666E3E}">
          <x14:id>{04F57FB9-3444-50A9-1F83-5CA259F8508E}</x14:id>
        </x:ext>
      </x:extLst>
    </x:cfRule>
  </x:conditionalFormatting>
  <x:conditionalFormatting sqref="J7:BR32">
    <x:cfRule type="expression" dxfId="20" priority="5">
      <x:formula>J7="完成"</x:formula>
    </x:cfRule>
    <x:cfRule type="expression" dxfId="21" priority="6">
      <x:formula>J7="未完成"</x:formula>
    </x:cfRule>
    <x:cfRule type="expression" dxfId="22" priority="7">
      <x:formula>J7="不适用"</x:formula>
    </x:cfRule>
  </x:conditionalFormatting>
  <x:dataValidations count="1">
    <x:dataValidation type="list" sqref="J7:BR32">
      <x:formula1>"未完成,完成,不适用"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9c7006e74a446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04F57FB9-3444-50A9-1F83-5CA259F8508E}">
            <x14:dataBar gradient="1">
              <x14:cfvo type="min"/>
              <x14:cfvo type="max"/>
              <x14:fillColor rgb="FF2F7D4A"/>
            </x14:dataBar>
          </x14:cfRule>
          <xm:sqref>I7:I32</xm:sqref>
        </x14:conditionalFormatting>
      </x14:conditionalFormattings>
    </x:ext>
  </x:extLst>
</x:worksheet>
</file>